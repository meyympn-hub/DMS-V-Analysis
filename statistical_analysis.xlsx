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shylu\OneDrive\Desktop\Masters Thesis\"/>
    </mc:Choice>
  </mc:AlternateContent>
  <xr:revisionPtr revIDLastSave="0" documentId="13_ncr:1_{2A49EE7D-D887-486F-8583-A81B2029FA43}" xr6:coauthVersionLast="47" xr6:coauthVersionMax="47" xr10:uidLastSave="{00000000-0000-0000-0000-000000000000}"/>
  <bookViews>
    <workbookView xWindow="-108" yWindow="-108" windowWidth="23256" windowHeight="13896" firstSheet="2" activeTab="7" xr2:uid="{A4E6496F-F50E-4CE2-906D-20D6A6DD2AAE}"/>
  </bookViews>
  <sheets>
    <sheet name="male prevalence" sheetId="1" r:id="rId1"/>
    <sheet name="male carious variables" sheetId="2" r:id="rId2"/>
    <sheet name="male YLD" sheetId="3" r:id="rId3"/>
    <sheet name="male CI YLD" sheetId="7" r:id="rId4"/>
    <sheet name="Sheet1" sheetId="9" r:id="rId5"/>
    <sheet name="female prevalence" sheetId="4" r:id="rId6"/>
    <sheet name="female carious variables" sheetId="5" r:id="rId7"/>
    <sheet name="female YLD" sheetId="6" r:id="rId8"/>
    <sheet name="female ci yld" sheetId="8"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3" i="9" l="1"/>
  <c r="H53" i="9"/>
  <c r="F53" i="9"/>
  <c r="E53" i="9"/>
  <c r="D53" i="9"/>
  <c r="C53" i="9"/>
  <c r="B53" i="9"/>
  <c r="A53" i="9"/>
  <c r="E50" i="9"/>
  <c r="D50" i="9"/>
  <c r="B50" i="9"/>
  <c r="A50" i="9"/>
  <c r="G37" i="9"/>
  <c r="F37" i="9"/>
  <c r="E38" i="9"/>
  <c r="D38" i="9"/>
  <c r="I37" i="9"/>
  <c r="H37" i="9"/>
  <c r="E37" i="9"/>
  <c r="D37" i="9"/>
  <c r="C37" i="9"/>
  <c r="B37" i="9"/>
  <c r="I30" i="9"/>
  <c r="H30" i="9"/>
  <c r="D30" i="9"/>
  <c r="L23" i="9"/>
  <c r="K23" i="9"/>
  <c r="I23" i="9"/>
  <c r="H23" i="9"/>
  <c r="G23" i="9"/>
  <c r="F23" i="9"/>
  <c r="E23" i="9"/>
  <c r="D23" i="9"/>
  <c r="K20" i="9"/>
  <c r="J20" i="9"/>
  <c r="H20" i="9"/>
  <c r="G20" i="9"/>
  <c r="M9" i="9"/>
  <c r="L9" i="9"/>
  <c r="J9" i="9"/>
  <c r="I9" i="9"/>
  <c r="H10" i="9"/>
  <c r="G10" i="9"/>
  <c r="H9" i="9"/>
  <c r="G9" i="9"/>
  <c r="E9" i="9"/>
  <c r="D9" i="9"/>
  <c r="H6" i="9"/>
  <c r="I6" i="9" s="1"/>
  <c r="E6" i="9"/>
  <c r="J6" i="9" s="1"/>
  <c r="L6" i="9" s="1"/>
  <c r="I3" i="9"/>
  <c r="H3" i="9"/>
  <c r="D3" i="9"/>
  <c r="L2" i="2"/>
  <c r="L2" i="5"/>
  <c r="J2" i="5"/>
  <c r="E2" i="2"/>
  <c r="D3" i="1"/>
  <c r="N43" i="5"/>
  <c r="N44" i="5"/>
  <c r="N45" i="5"/>
  <c r="N46" i="5"/>
  <c r="N47" i="5"/>
  <c r="N48" i="5"/>
  <c r="N49" i="5"/>
  <c r="N42" i="5"/>
  <c r="M43" i="5"/>
  <c r="M44" i="5"/>
  <c r="M45" i="5"/>
  <c r="M46" i="5"/>
  <c r="M47" i="5"/>
  <c r="M48" i="5"/>
  <c r="M49" i="5"/>
  <c r="M42" i="5"/>
  <c r="L43" i="5"/>
  <c r="L44" i="5"/>
  <c r="L45" i="5"/>
  <c r="L46" i="5"/>
  <c r="L47" i="5"/>
  <c r="L48" i="5"/>
  <c r="L49" i="5"/>
  <c r="L42" i="5"/>
  <c r="K43" i="5"/>
  <c r="K44" i="5"/>
  <c r="K45" i="5"/>
  <c r="K46" i="5"/>
  <c r="K47" i="5"/>
  <c r="K48" i="5"/>
  <c r="K49" i="5"/>
  <c r="K42" i="5"/>
  <c r="J43" i="5"/>
  <c r="J44" i="5"/>
  <c r="J45" i="5"/>
  <c r="J46" i="5"/>
  <c r="J47" i="5"/>
  <c r="J48" i="5"/>
  <c r="J49" i="5"/>
  <c r="J42" i="5"/>
  <c r="I43" i="5"/>
  <c r="I44" i="5"/>
  <c r="I45" i="5"/>
  <c r="I46" i="5"/>
  <c r="I47" i="5"/>
  <c r="I48" i="5"/>
  <c r="I49" i="5"/>
  <c r="I42" i="5"/>
  <c r="H43" i="5"/>
  <c r="H44" i="5"/>
  <c r="H45" i="5"/>
  <c r="H46" i="5"/>
  <c r="H47" i="5"/>
  <c r="H48" i="5"/>
  <c r="H49" i="5"/>
  <c r="H42" i="5"/>
  <c r="G43" i="5"/>
  <c r="G44" i="5"/>
  <c r="G45" i="5"/>
  <c r="G46" i="5"/>
  <c r="G47" i="5"/>
  <c r="G48" i="5"/>
  <c r="G49" i="5"/>
  <c r="G42" i="5"/>
  <c r="Q15" i="5"/>
  <c r="Q16" i="5"/>
  <c r="Q17" i="5"/>
  <c r="Q18" i="5"/>
  <c r="Q19" i="5"/>
  <c r="Q20" i="5"/>
  <c r="Q21" i="5"/>
  <c r="P15" i="5"/>
  <c r="P16" i="5"/>
  <c r="P17" i="5"/>
  <c r="P18" i="5"/>
  <c r="P19" i="5"/>
  <c r="P20" i="5"/>
  <c r="P21" i="5"/>
  <c r="H30" i="5"/>
  <c r="J30" i="5" s="1"/>
  <c r="H31" i="5"/>
  <c r="H32" i="5"/>
  <c r="H33" i="5"/>
  <c r="H34" i="5"/>
  <c r="H35" i="5"/>
  <c r="H36" i="5"/>
  <c r="H29" i="5"/>
  <c r="G30" i="5"/>
  <c r="G31" i="5"/>
  <c r="G32" i="5"/>
  <c r="G33" i="5"/>
  <c r="G34" i="5"/>
  <c r="G35" i="5"/>
  <c r="G36" i="5"/>
  <c r="G29" i="5"/>
  <c r="J31" i="5"/>
  <c r="J32" i="5"/>
  <c r="J33" i="5"/>
  <c r="J34" i="5"/>
  <c r="J35" i="5"/>
  <c r="J36" i="5"/>
  <c r="J29" i="5"/>
  <c r="I30" i="5"/>
  <c r="I31" i="5"/>
  <c r="I32" i="5"/>
  <c r="I33" i="5"/>
  <c r="I34" i="5"/>
  <c r="I35" i="5"/>
  <c r="I36" i="5"/>
  <c r="I29" i="5"/>
  <c r="O15" i="5"/>
  <c r="O16" i="5"/>
  <c r="O17" i="5"/>
  <c r="O18" i="5"/>
  <c r="O19" i="5"/>
  <c r="O20" i="5"/>
  <c r="O21" i="5"/>
  <c r="N15" i="5"/>
  <c r="N16" i="5"/>
  <c r="N17" i="5"/>
  <c r="N18" i="5"/>
  <c r="N19" i="5"/>
  <c r="N20" i="5"/>
  <c r="N21" i="5"/>
  <c r="M15" i="5"/>
  <c r="M16" i="5"/>
  <c r="M17" i="5"/>
  <c r="M18" i="5"/>
  <c r="M19" i="5"/>
  <c r="M20" i="5"/>
  <c r="M21" i="5"/>
  <c r="M14" i="5"/>
  <c r="L15" i="5"/>
  <c r="L16" i="5"/>
  <c r="L17" i="5"/>
  <c r="L18" i="5"/>
  <c r="L19" i="5"/>
  <c r="L20" i="5"/>
  <c r="L21" i="5"/>
  <c r="K15" i="5"/>
  <c r="K16" i="5"/>
  <c r="K17" i="5"/>
  <c r="K18" i="5"/>
  <c r="K19" i="5"/>
  <c r="K20" i="5"/>
  <c r="K21" i="5"/>
  <c r="J15" i="5"/>
  <c r="J16" i="5"/>
  <c r="J17" i="5"/>
  <c r="J18" i="5"/>
  <c r="J19" i="5"/>
  <c r="J20" i="5"/>
  <c r="J21" i="5"/>
  <c r="K14" i="5"/>
  <c r="J14" i="5"/>
  <c r="L14" i="5" s="1"/>
  <c r="G15" i="5"/>
  <c r="G16" i="5"/>
  <c r="G17" i="5"/>
  <c r="G18" i="5"/>
  <c r="G19" i="5"/>
  <c r="G20" i="5"/>
  <c r="G21" i="5"/>
  <c r="F15" i="5"/>
  <c r="F16" i="5"/>
  <c r="F17" i="5"/>
  <c r="F18" i="5"/>
  <c r="F19" i="5"/>
  <c r="F20" i="5"/>
  <c r="F21" i="5"/>
  <c r="G14" i="5"/>
  <c r="O14" i="5" s="1"/>
  <c r="Q14" i="5" s="1"/>
  <c r="F14" i="5"/>
  <c r="N14" i="5" s="1"/>
  <c r="P14" i="5" s="1"/>
  <c r="U45" i="2"/>
  <c r="U46" i="2"/>
  <c r="U47" i="2"/>
  <c r="U48" i="2"/>
  <c r="U49" i="2"/>
  <c r="U50" i="2"/>
  <c r="U51" i="2"/>
  <c r="U44" i="2"/>
  <c r="T45" i="2"/>
  <c r="T46" i="2"/>
  <c r="T47" i="2"/>
  <c r="T48" i="2"/>
  <c r="T49" i="2"/>
  <c r="T50" i="2"/>
  <c r="T51" i="2"/>
  <c r="T44" i="2"/>
  <c r="S45" i="2"/>
  <c r="S46" i="2"/>
  <c r="S47" i="2"/>
  <c r="S48" i="2"/>
  <c r="S49" i="2"/>
  <c r="S50" i="2"/>
  <c r="S51" i="2"/>
  <c r="S44" i="2"/>
  <c r="R45" i="2"/>
  <c r="R46" i="2"/>
  <c r="R47" i="2"/>
  <c r="R48" i="2"/>
  <c r="R49" i="2"/>
  <c r="R50" i="2"/>
  <c r="R51" i="2"/>
  <c r="R44" i="2"/>
  <c r="Q45" i="2"/>
  <c r="Q46" i="2"/>
  <c r="Q47" i="2"/>
  <c r="Q48" i="2"/>
  <c r="Q49" i="2"/>
  <c r="Q50" i="2"/>
  <c r="Q51" i="2"/>
  <c r="Q44" i="2"/>
  <c r="P45" i="2"/>
  <c r="P46" i="2"/>
  <c r="P47" i="2"/>
  <c r="P48" i="2"/>
  <c r="P49" i="2"/>
  <c r="P50" i="2"/>
  <c r="P51" i="2"/>
  <c r="P44" i="2"/>
  <c r="O45" i="2"/>
  <c r="O46" i="2"/>
  <c r="O47" i="2"/>
  <c r="O48" i="2"/>
  <c r="O49" i="2"/>
  <c r="O50" i="2"/>
  <c r="O51" i="2"/>
  <c r="O44" i="2"/>
  <c r="N45" i="2"/>
  <c r="N46" i="2"/>
  <c r="N47" i="2"/>
  <c r="N48" i="2"/>
  <c r="N49" i="2"/>
  <c r="N50" i="2"/>
  <c r="N51" i="2"/>
  <c r="N44" i="2"/>
  <c r="J14" i="2"/>
  <c r="Q31" i="2"/>
  <c r="Q32" i="2"/>
  <c r="Q33" i="2"/>
  <c r="Q34" i="2"/>
  <c r="Q35" i="2"/>
  <c r="Q36" i="2"/>
  <c r="Q37" i="2"/>
  <c r="Q30" i="2"/>
  <c r="P31" i="2"/>
  <c r="P32" i="2"/>
  <c r="P33" i="2"/>
  <c r="P34" i="2"/>
  <c r="P35" i="2"/>
  <c r="P36" i="2"/>
  <c r="P37" i="2"/>
  <c r="P30" i="2"/>
  <c r="O31" i="2"/>
  <c r="O32" i="2"/>
  <c r="O33" i="2"/>
  <c r="O34" i="2"/>
  <c r="O35" i="2"/>
  <c r="O36" i="2"/>
  <c r="O37" i="2"/>
  <c r="O30" i="2"/>
  <c r="N30" i="2"/>
  <c r="N31" i="2"/>
  <c r="N32" i="2"/>
  <c r="N33" i="2"/>
  <c r="N34" i="2"/>
  <c r="N35" i="2"/>
  <c r="N36" i="2"/>
  <c r="N37" i="2"/>
  <c r="Q13" i="2"/>
  <c r="Q14" i="2"/>
  <c r="Q15" i="2"/>
  <c r="Q16" i="2"/>
  <c r="Q17" i="2"/>
  <c r="Q18" i="2"/>
  <c r="Q19" i="2"/>
  <c r="Q12" i="2"/>
  <c r="P13" i="2"/>
  <c r="P14" i="2"/>
  <c r="P15" i="2"/>
  <c r="P16" i="2"/>
  <c r="P17" i="2"/>
  <c r="P18" i="2"/>
  <c r="P19" i="2"/>
  <c r="P12" i="2"/>
  <c r="O13" i="2"/>
  <c r="O14" i="2"/>
  <c r="O15" i="2"/>
  <c r="O16" i="2"/>
  <c r="O17" i="2"/>
  <c r="O18" i="2"/>
  <c r="O19" i="2"/>
  <c r="O12" i="2"/>
  <c r="N13" i="2"/>
  <c r="N14" i="2"/>
  <c r="N15" i="2"/>
  <c r="N16" i="2"/>
  <c r="N17" i="2"/>
  <c r="N18" i="2"/>
  <c r="N19" i="2"/>
  <c r="N12" i="2"/>
  <c r="M13" i="2"/>
  <c r="M14" i="2"/>
  <c r="M15" i="2"/>
  <c r="M16" i="2"/>
  <c r="M17" i="2"/>
  <c r="M18" i="2"/>
  <c r="M19" i="2"/>
  <c r="M12" i="2"/>
  <c r="L13" i="2"/>
  <c r="L14" i="2"/>
  <c r="L15" i="2"/>
  <c r="L16" i="2"/>
  <c r="L17" i="2"/>
  <c r="L18" i="2"/>
  <c r="L19" i="2"/>
  <c r="L12" i="2"/>
  <c r="K13" i="2"/>
  <c r="K14" i="2"/>
  <c r="K15" i="2"/>
  <c r="K16" i="2"/>
  <c r="K17" i="2"/>
  <c r="K18" i="2"/>
  <c r="K19" i="2"/>
  <c r="K12" i="2"/>
  <c r="J13" i="2"/>
  <c r="J15" i="2"/>
  <c r="J16" i="2"/>
  <c r="J17" i="2"/>
  <c r="J18" i="2"/>
  <c r="J19" i="2"/>
  <c r="J12" i="2"/>
  <c r="G13" i="2"/>
  <c r="G14" i="2"/>
  <c r="G15" i="2"/>
  <c r="G16" i="2"/>
  <c r="G17" i="2"/>
  <c r="G18" i="2"/>
  <c r="G19" i="2"/>
  <c r="G12" i="2"/>
  <c r="F13" i="2"/>
  <c r="F14" i="2"/>
  <c r="F15" i="2"/>
  <c r="F16" i="2"/>
  <c r="F17" i="2"/>
  <c r="F18" i="2"/>
  <c r="F19" i="2"/>
  <c r="F12" i="2"/>
  <c r="L3" i="5"/>
  <c r="L4" i="5"/>
  <c r="L5" i="5"/>
  <c r="L6" i="5"/>
  <c r="L7" i="5"/>
  <c r="L8" i="5"/>
  <c r="L9" i="5"/>
  <c r="L3" i="2"/>
  <c r="L4" i="2"/>
  <c r="L5" i="2"/>
  <c r="L6" i="2"/>
  <c r="L7" i="2"/>
  <c r="L8" i="2"/>
  <c r="L9" i="2"/>
  <c r="D22" i="8"/>
  <c r="F22" i="8" s="1"/>
  <c r="I22" i="8" s="1"/>
  <c r="C22" i="8"/>
  <c r="E22" i="8" s="1"/>
  <c r="H22" i="8" s="1"/>
  <c r="D21" i="8"/>
  <c r="F21" i="8" s="1"/>
  <c r="I21" i="8" s="1"/>
  <c r="C21" i="8"/>
  <c r="E21" i="8" s="1"/>
  <c r="H21" i="8" s="1"/>
  <c r="D20" i="8"/>
  <c r="F20" i="8" s="1"/>
  <c r="I20" i="8" s="1"/>
  <c r="C20" i="8"/>
  <c r="E20" i="8" s="1"/>
  <c r="H20" i="8" s="1"/>
  <c r="D19" i="8"/>
  <c r="F19" i="8" s="1"/>
  <c r="I19" i="8" s="1"/>
  <c r="C19" i="8"/>
  <c r="E19" i="8" s="1"/>
  <c r="H19" i="8" s="1"/>
  <c r="D18" i="8"/>
  <c r="F18" i="8" s="1"/>
  <c r="I18" i="8" s="1"/>
  <c r="C18" i="8"/>
  <c r="E18" i="8" s="1"/>
  <c r="H18" i="8" s="1"/>
  <c r="D17" i="8"/>
  <c r="F17" i="8" s="1"/>
  <c r="I17" i="8" s="1"/>
  <c r="C17" i="8"/>
  <c r="E17" i="8" s="1"/>
  <c r="H17" i="8" s="1"/>
  <c r="F5" i="8"/>
  <c r="I5" i="8" s="1"/>
  <c r="F6" i="8"/>
  <c r="I6" i="8" s="1"/>
  <c r="F7" i="8"/>
  <c r="I7" i="8" s="1"/>
  <c r="F8" i="8"/>
  <c r="I8" i="8" s="1"/>
  <c r="F9" i="8"/>
  <c r="I9" i="8" s="1"/>
  <c r="F10" i="8"/>
  <c r="I10" i="8" s="1"/>
  <c r="F4" i="8"/>
  <c r="I4" i="8" s="1"/>
  <c r="E5" i="8"/>
  <c r="H5" i="8" s="1"/>
  <c r="E6" i="8"/>
  <c r="H6" i="8" s="1"/>
  <c r="E7" i="8"/>
  <c r="H7" i="8" s="1"/>
  <c r="E8" i="8"/>
  <c r="H8" i="8" s="1"/>
  <c r="E9" i="8"/>
  <c r="H9" i="8" s="1"/>
  <c r="E10" i="8"/>
  <c r="H10" i="8" s="1"/>
  <c r="E4" i="8"/>
  <c r="H4" i="8" s="1"/>
  <c r="F17" i="7"/>
  <c r="I17" i="7" s="1"/>
  <c r="F18" i="7"/>
  <c r="I18" i="7" s="1"/>
  <c r="F19" i="7"/>
  <c r="I19" i="7" s="1"/>
  <c r="F20" i="7"/>
  <c r="I20" i="7" s="1"/>
  <c r="F21" i="7"/>
  <c r="I21" i="7" s="1"/>
  <c r="F16" i="7"/>
  <c r="I16" i="7" s="1"/>
  <c r="E17" i="7"/>
  <c r="H17" i="7" s="1"/>
  <c r="E18" i="7"/>
  <c r="H18" i="7" s="1"/>
  <c r="E19" i="7"/>
  <c r="H19" i="7" s="1"/>
  <c r="E20" i="7"/>
  <c r="H20" i="7" s="1"/>
  <c r="E21" i="7"/>
  <c r="H21" i="7" s="1"/>
  <c r="E16" i="7"/>
  <c r="H16" i="7" s="1"/>
  <c r="F9" i="7"/>
  <c r="I9" i="7" s="1"/>
  <c r="E9" i="7"/>
  <c r="H9" i="7" s="1"/>
  <c r="F8" i="7"/>
  <c r="I8" i="7" s="1"/>
  <c r="E8" i="7"/>
  <c r="H8" i="7" s="1"/>
  <c r="F7" i="7"/>
  <c r="I7" i="7" s="1"/>
  <c r="E7" i="7"/>
  <c r="H7" i="7" s="1"/>
  <c r="F6" i="7"/>
  <c r="I6" i="7" s="1"/>
  <c r="E6" i="7"/>
  <c r="H6" i="7" s="1"/>
  <c r="F4" i="7"/>
  <c r="I4" i="7" s="1"/>
  <c r="E4" i="7"/>
  <c r="H4" i="7" s="1"/>
  <c r="F3" i="7"/>
  <c r="I3" i="7" s="1"/>
  <c r="E3" i="7"/>
  <c r="H3" i="7" s="1"/>
  <c r="K10" i="6"/>
  <c r="K11" i="6"/>
  <c r="K12" i="6"/>
  <c r="L12" i="6" s="1"/>
  <c r="N12" i="6" s="1"/>
  <c r="K13" i="6"/>
  <c r="K14" i="6"/>
  <c r="K15" i="6"/>
  <c r="K16" i="6"/>
  <c r="K9" i="6"/>
  <c r="L9" i="6" s="1"/>
  <c r="N9" i="6" s="1"/>
  <c r="J10" i="6"/>
  <c r="J11" i="6"/>
  <c r="J12" i="6"/>
  <c r="J13" i="6"/>
  <c r="J14" i="6"/>
  <c r="J15" i="6"/>
  <c r="J16" i="6"/>
  <c r="J9" i="6"/>
  <c r="C10" i="6"/>
  <c r="C11" i="6"/>
  <c r="C12" i="6"/>
  <c r="C13" i="6"/>
  <c r="C14" i="6"/>
  <c r="E14" i="6" s="1"/>
  <c r="C15" i="6"/>
  <c r="C16" i="6"/>
  <c r="C9" i="6"/>
  <c r="E9" i="6" s="1"/>
  <c r="K10" i="3"/>
  <c r="K11" i="3"/>
  <c r="K12" i="3"/>
  <c r="K13" i="3"/>
  <c r="L13" i="3" s="1"/>
  <c r="N13" i="3" s="1"/>
  <c r="K14" i="3"/>
  <c r="K15" i="3"/>
  <c r="K16" i="3"/>
  <c r="K9" i="3"/>
  <c r="L9" i="3" s="1"/>
  <c r="N9" i="3" s="1"/>
  <c r="J10" i="3"/>
  <c r="J11" i="3"/>
  <c r="J12" i="3"/>
  <c r="J13" i="3"/>
  <c r="J14" i="3"/>
  <c r="J15" i="3"/>
  <c r="J16" i="3"/>
  <c r="J9" i="3"/>
  <c r="C10" i="3"/>
  <c r="C11" i="3"/>
  <c r="C12" i="3"/>
  <c r="E12" i="3" s="1"/>
  <c r="C13" i="3"/>
  <c r="C14" i="3"/>
  <c r="C15" i="3"/>
  <c r="C16" i="3"/>
  <c r="C9" i="3"/>
  <c r="E9" i="3" s="1"/>
  <c r="K5" i="3"/>
  <c r="L24" i="6"/>
  <c r="L25" i="6"/>
  <c r="L26" i="6"/>
  <c r="L27" i="6"/>
  <c r="L28" i="6"/>
  <c r="L23" i="6"/>
  <c r="J24" i="6"/>
  <c r="J25" i="6"/>
  <c r="J26" i="6"/>
  <c r="J27" i="6"/>
  <c r="J28" i="6"/>
  <c r="J23" i="6"/>
  <c r="E23" i="6"/>
  <c r="E24" i="6"/>
  <c r="E25" i="6"/>
  <c r="E26" i="6"/>
  <c r="E27" i="6"/>
  <c r="E28" i="6"/>
  <c r="E22" i="6"/>
  <c r="C23" i="6"/>
  <c r="C24" i="6"/>
  <c r="C25" i="6"/>
  <c r="C26" i="6"/>
  <c r="C27" i="6"/>
  <c r="C28" i="6"/>
  <c r="C22" i="6"/>
  <c r="D49" i="6"/>
  <c r="F49" i="6" s="1"/>
  <c r="D48" i="6"/>
  <c r="F48" i="6" s="1"/>
  <c r="D47" i="6"/>
  <c r="F47" i="6" s="1"/>
  <c r="D46" i="6"/>
  <c r="F46" i="6" s="1"/>
  <c r="D45" i="6"/>
  <c r="F45" i="6" s="1"/>
  <c r="D44" i="6"/>
  <c r="F44" i="6" s="1"/>
  <c r="E16" i="6"/>
  <c r="E15" i="6"/>
  <c r="E13" i="6"/>
  <c r="E12" i="6"/>
  <c r="L11" i="6"/>
  <c r="N11" i="6" s="1"/>
  <c r="E11" i="6"/>
  <c r="E10" i="6"/>
  <c r="H9" i="5"/>
  <c r="I9" i="5" s="1"/>
  <c r="E9" i="5"/>
  <c r="J9" i="5" s="1"/>
  <c r="H8" i="5"/>
  <c r="I8" i="5" s="1"/>
  <c r="E8" i="5"/>
  <c r="J8" i="5" s="1"/>
  <c r="H7" i="5"/>
  <c r="I7" i="5" s="1"/>
  <c r="E7" i="5"/>
  <c r="J7" i="5" s="1"/>
  <c r="H6" i="5"/>
  <c r="I6" i="5" s="1"/>
  <c r="E6" i="5"/>
  <c r="J6" i="5" s="1"/>
  <c r="H5" i="5"/>
  <c r="I5" i="5" s="1"/>
  <c r="E5" i="5"/>
  <c r="J5" i="5" s="1"/>
  <c r="H4" i="5"/>
  <c r="I4" i="5" s="1"/>
  <c r="E4" i="5"/>
  <c r="J4" i="5" s="1"/>
  <c r="H3" i="5"/>
  <c r="I3" i="5" s="1"/>
  <c r="E3" i="5"/>
  <c r="J3" i="5" s="1"/>
  <c r="H2" i="5"/>
  <c r="I2" i="5" s="1"/>
  <c r="E2" i="5"/>
  <c r="I34" i="4"/>
  <c r="H34" i="4"/>
  <c r="D34" i="4"/>
  <c r="I33" i="4"/>
  <c r="H33" i="4"/>
  <c r="D33" i="4"/>
  <c r="I32" i="4"/>
  <c r="H32" i="4"/>
  <c r="D32" i="4"/>
  <c r="I31" i="4"/>
  <c r="H31" i="4"/>
  <c r="D31" i="4"/>
  <c r="I30" i="4"/>
  <c r="H30" i="4"/>
  <c r="D30" i="4"/>
  <c r="I29" i="4"/>
  <c r="H29" i="4"/>
  <c r="D29" i="4"/>
  <c r="I22" i="4"/>
  <c r="H22" i="4"/>
  <c r="D22" i="4"/>
  <c r="I21" i="4"/>
  <c r="H21" i="4"/>
  <c r="D21" i="4"/>
  <c r="I20" i="4"/>
  <c r="H20" i="4"/>
  <c r="D20" i="4"/>
  <c r="I19" i="4"/>
  <c r="H19" i="4"/>
  <c r="D19" i="4"/>
  <c r="I18" i="4"/>
  <c r="H18" i="4"/>
  <c r="D18" i="4"/>
  <c r="I17" i="4"/>
  <c r="H17" i="4"/>
  <c r="D17" i="4"/>
  <c r="I16" i="4"/>
  <c r="H16" i="4"/>
  <c r="D16" i="4"/>
  <c r="I10" i="4"/>
  <c r="H10" i="4"/>
  <c r="D10" i="4"/>
  <c r="I9" i="4"/>
  <c r="H9" i="4"/>
  <c r="D9" i="4"/>
  <c r="I8" i="4"/>
  <c r="H8" i="4"/>
  <c r="D8" i="4"/>
  <c r="I7" i="4"/>
  <c r="H7" i="4"/>
  <c r="D7" i="4"/>
  <c r="I6" i="4"/>
  <c r="H6" i="4"/>
  <c r="D6" i="4"/>
  <c r="I5" i="4"/>
  <c r="H5" i="4"/>
  <c r="D5" i="4"/>
  <c r="I4" i="4"/>
  <c r="H4" i="4"/>
  <c r="D4" i="4"/>
  <c r="I3" i="4"/>
  <c r="H3" i="4"/>
  <c r="D3" i="4"/>
  <c r="J28" i="3"/>
  <c r="L28" i="3" s="1"/>
  <c r="C28" i="3"/>
  <c r="E28" i="3" s="1"/>
  <c r="L27" i="3"/>
  <c r="J27" i="3"/>
  <c r="E27" i="3"/>
  <c r="C27" i="3"/>
  <c r="J26" i="3"/>
  <c r="L26" i="3" s="1"/>
  <c r="C26" i="3"/>
  <c r="E26" i="3" s="1"/>
  <c r="J25" i="3"/>
  <c r="L25" i="3" s="1"/>
  <c r="C25" i="3"/>
  <c r="E25" i="3" s="1"/>
  <c r="L24" i="3"/>
  <c r="J24" i="3"/>
  <c r="E24" i="3"/>
  <c r="C24" i="3"/>
  <c r="J23" i="3"/>
  <c r="L23" i="3" s="1"/>
  <c r="C23" i="3"/>
  <c r="E23" i="3" s="1"/>
  <c r="L22" i="3"/>
  <c r="E22" i="3"/>
  <c r="C22" i="3"/>
  <c r="E16" i="3"/>
  <c r="E15" i="3"/>
  <c r="L14" i="3"/>
  <c r="N14" i="3" s="1"/>
  <c r="E14" i="3"/>
  <c r="E13" i="3"/>
  <c r="L12" i="3"/>
  <c r="N12" i="3" s="1"/>
  <c r="E11" i="3"/>
  <c r="L10" i="3"/>
  <c r="N10" i="3" s="1"/>
  <c r="E10" i="3"/>
  <c r="H9" i="2"/>
  <c r="I9" i="2" s="1"/>
  <c r="E9" i="2"/>
  <c r="J9" i="2" s="1"/>
  <c r="H8" i="2"/>
  <c r="I8" i="2" s="1"/>
  <c r="E8" i="2"/>
  <c r="J8" i="2" s="1"/>
  <c r="H7" i="2"/>
  <c r="I7" i="2" s="1"/>
  <c r="E7" i="2"/>
  <c r="J7" i="2" s="1"/>
  <c r="H6" i="2"/>
  <c r="I6" i="2" s="1"/>
  <c r="E6" i="2"/>
  <c r="H5" i="2"/>
  <c r="I5" i="2" s="1"/>
  <c r="E5" i="2"/>
  <c r="I4" i="2"/>
  <c r="H4" i="2"/>
  <c r="E4" i="2"/>
  <c r="J4" i="2" s="1"/>
  <c r="H3" i="2"/>
  <c r="I3" i="2" s="1"/>
  <c r="E3" i="2"/>
  <c r="J3" i="2" s="1"/>
  <c r="H2" i="2"/>
  <c r="I2" i="2" s="1"/>
  <c r="I34" i="1"/>
  <c r="H34" i="1"/>
  <c r="D34" i="1"/>
  <c r="I33" i="1"/>
  <c r="H33" i="1"/>
  <c r="D33" i="1"/>
  <c r="I32" i="1"/>
  <c r="H32" i="1"/>
  <c r="D32" i="1"/>
  <c r="I31" i="1"/>
  <c r="H31" i="1"/>
  <c r="D31" i="1"/>
  <c r="I30" i="1"/>
  <c r="H30" i="1"/>
  <c r="D30" i="1"/>
  <c r="I29" i="1"/>
  <c r="H29" i="1"/>
  <c r="D29" i="1"/>
  <c r="I22" i="1"/>
  <c r="H22" i="1"/>
  <c r="D22" i="1"/>
  <c r="I21" i="1"/>
  <c r="H21" i="1"/>
  <c r="D21" i="1"/>
  <c r="I20" i="1"/>
  <c r="H20" i="1"/>
  <c r="D20" i="1"/>
  <c r="I19" i="1"/>
  <c r="H19" i="1"/>
  <c r="D19" i="1"/>
  <c r="D18" i="1"/>
  <c r="I17" i="1"/>
  <c r="H17" i="1"/>
  <c r="D17" i="1"/>
  <c r="I16" i="1"/>
  <c r="H16" i="1"/>
  <c r="D16" i="1"/>
  <c r="C15" i="1"/>
  <c r="I10" i="1"/>
  <c r="H10" i="1"/>
  <c r="D10" i="1"/>
  <c r="I9" i="1"/>
  <c r="H9" i="1"/>
  <c r="D9" i="1"/>
  <c r="I8" i="1"/>
  <c r="H8" i="1"/>
  <c r="D8" i="1"/>
  <c r="I7" i="1"/>
  <c r="H7" i="1"/>
  <c r="D7" i="1"/>
  <c r="I6" i="1"/>
  <c r="H6" i="1"/>
  <c r="D6" i="1"/>
  <c r="I5" i="1"/>
  <c r="H5" i="1"/>
  <c r="D5" i="1"/>
  <c r="I4" i="1"/>
  <c r="H4" i="1"/>
  <c r="D4" i="1"/>
  <c r="I3" i="1"/>
  <c r="H3" i="1"/>
  <c r="J2" i="2" l="1"/>
  <c r="L16" i="3"/>
  <c r="N16" i="3" s="1"/>
  <c r="L15" i="3"/>
  <c r="N15" i="3" s="1"/>
  <c r="L11" i="3"/>
  <c r="N11" i="3" s="1"/>
  <c r="L14" i="6"/>
  <c r="N14" i="6" s="1"/>
  <c r="L15" i="6"/>
  <c r="N15" i="6" s="1"/>
  <c r="L13" i="6"/>
  <c r="N13" i="6" s="1"/>
  <c r="L10" i="6"/>
  <c r="N10" i="6" s="1"/>
  <c r="L16" i="6"/>
  <c r="N16" i="6" s="1"/>
  <c r="J5" i="2"/>
  <c r="J6" i="2"/>
</calcChain>
</file>

<file path=xl/sharedStrings.xml><?xml version="1.0" encoding="utf-8"?>
<sst xmlns="http://schemas.openxmlformats.org/spreadsheetml/2006/main" count="706" uniqueCount="285">
  <si>
    <t>DT Index</t>
  </si>
  <si>
    <t>Age Group</t>
  </si>
  <si>
    <t>Population in 2014</t>
  </si>
  <si>
    <t>DT Carious %</t>
  </si>
  <si>
    <t>Prevalence</t>
  </si>
  <si>
    <t>CI %</t>
  </si>
  <si>
    <t>CI</t>
  </si>
  <si>
    <t>Lower CI</t>
  </si>
  <si>
    <t>Upper CI</t>
  </si>
  <si>
    <t xml:space="preserve"> [5.2,9.6]</t>
  </si>
  <si>
    <t>35-39</t>
  </si>
  <si>
    <t xml:space="preserve">[22.3,37.3] </t>
  </si>
  <si>
    <t>[650335.792,1087781.392]</t>
  </si>
  <si>
    <t>40-44</t>
  </si>
  <si>
    <t>[23.6,36.8]</t>
  </si>
  <si>
    <t>[616229.984,960900.992]</t>
  </si>
  <si>
    <t>65-69</t>
  </si>
  <si>
    <t>[25.3,39.6]</t>
  </si>
  <si>
    <t>[610145.426,955010.232]</t>
  </si>
  <si>
    <t>70-74</t>
  </si>
  <si>
    <t>[17.8,29.6]</t>
  </si>
  <si>
    <t>[366655.08,609718.56]</t>
  </si>
  <si>
    <t>75-79</t>
  </si>
  <si>
    <t xml:space="preserve">[17.9,28.8] </t>
  </si>
  <si>
    <t>[324259.395,521713.44]</t>
  </si>
  <si>
    <t>80-84</t>
  </si>
  <si>
    <t xml:space="preserve">[16.8,33.8] </t>
  </si>
  <si>
    <t>[160459.152,322828.532]</t>
  </si>
  <si>
    <t>85+</t>
  </si>
  <si>
    <t xml:space="preserve">[11.7,29.3] </t>
  </si>
  <si>
    <t>[73859.409,184964.161]</t>
  </si>
  <si>
    <t>PI Index</t>
  </si>
  <si>
    <t>Periodontal %</t>
  </si>
  <si>
    <t>[51.1,66.9]</t>
  </si>
  <si>
    <t>[1490231.344,1951007.376]</t>
  </si>
  <si>
    <t>[58.7,71.7]</t>
  </si>
  <si>
    <t>[1532741.528,1872190.248]</t>
  </si>
  <si>
    <t>[47.2,85.1]</t>
  </si>
  <si>
    <t>[972253.92,1752940.86]</t>
  </si>
  <si>
    <t>[78.7,89.1]</t>
  </si>
  <si>
    <t>[1425654.435,1614050.955]</t>
  </si>
  <si>
    <t>[65.3,85.6]</t>
  </si>
  <si>
    <t>[623689.442,817577.584]</t>
  </si>
  <si>
    <t>[70.5,90.5]</t>
  </si>
  <si>
    <t>[445050.285,571305.685]</t>
  </si>
  <si>
    <t>Edentulism</t>
  </si>
  <si>
    <t>Edentulism %</t>
  </si>
  <si>
    <t>[0.1,4.9]</t>
  </si>
  <si>
    <t>[2611.144,127946.056]</t>
  </si>
  <si>
    <t>[5.0,13.7]</t>
  </si>
  <si>
    <t>[120582.1,330394.954]</t>
  </si>
  <si>
    <t>[10.5,21.1]</t>
  </si>
  <si>
    <t>[216285.3,434630.46]</t>
  </si>
  <si>
    <t>[17.0,28.4]</t>
  </si>
  <si>
    <t>[307955.85,514467.42]</t>
  </si>
  <si>
    <t>[25.1,43.2]</t>
  </si>
  <si>
    <t>[239733.614,412609.248]</t>
  </si>
  <si>
    <t>[28.5,49.8]</t>
  </si>
  <si>
    <t>[179913.945,314375.946]</t>
  </si>
  <si>
    <t>Mean of DT Index</t>
  </si>
  <si>
    <t>95% CI of Mean</t>
  </si>
  <si>
    <t>Number of Decayed Teeth</t>
  </si>
  <si>
    <t>Mean of FT Index</t>
  </si>
  <si>
    <t>Number of Filled Teeth</t>
  </si>
  <si>
    <t>Filled teeth * 0.5</t>
  </si>
  <si>
    <t>Prevalence in terms of teeth (Sum of DT and FT teeth)</t>
  </si>
  <si>
    <t>[1.332551, 2.101845]</t>
  </si>
  <si>
    <t>[1.893925,2.669545]</t>
  </si>
  <si>
    <t>[1.583162,3.433775]</t>
  </si>
  <si>
    <t>[7.973064,9.432485]</t>
  </si>
  <si>
    <t>[1.829584, 2.810958]</t>
  </si>
  <si>
    <t>[8.318731,9.577009]</t>
  </si>
  <si>
    <t>[1.738243,2.535547]</t>
  </si>
  <si>
    <t>[7.100268,8.723441]</t>
  </si>
  <si>
    <t>[1.708066, 4.713684]</t>
  </si>
  <si>
    <t>[6.349524,7.685663]</t>
  </si>
  <si>
    <t>[2.20861, 3.873752]</t>
  </si>
  <si>
    <t>[5.50661,6.832]</t>
  </si>
  <si>
    <t>[1.758108, 3.44596]</t>
  </si>
  <si>
    <t>[4.735556,6.63752]</t>
  </si>
  <si>
    <t>[1.424116, 2.49345]</t>
  </si>
  <si>
    <t>[4.044157,6.456943]</t>
  </si>
  <si>
    <t>YLD = Prevalence * Duration * Disability Weights</t>
  </si>
  <si>
    <t>YLD per 100,000 = Total YLD / Total Population *100,000</t>
  </si>
  <si>
    <t>YLD Mild Carious</t>
  </si>
  <si>
    <t>Carious DW - 0.01</t>
  </si>
  <si>
    <t>YLD Severe Carious</t>
  </si>
  <si>
    <t>Prevalence in terms of teeth</t>
  </si>
  <si>
    <t>Total Population in 2014</t>
  </si>
  <si>
    <t>YLD per 100,000</t>
  </si>
  <si>
    <t>YLD for 55.2 days a year</t>
  </si>
  <si>
    <t>YLD for remaining days of the year</t>
  </si>
  <si>
    <t>Total YLD</t>
  </si>
  <si>
    <t>Duration - 1 year</t>
  </si>
  <si>
    <t>Periodontitis DW - 0.007</t>
  </si>
  <si>
    <t>Edentulism DW - 0.067</t>
  </si>
  <si>
    <t>YLD for Periodontitis</t>
  </si>
  <si>
    <t>YLD for Edentulism</t>
  </si>
  <si>
    <t>duration - 1</t>
  </si>
  <si>
    <t>edentulism dw of 0.067</t>
  </si>
  <si>
    <t>per 100.000</t>
  </si>
  <si>
    <t>YLDS</t>
  </si>
  <si>
    <t xml:space="preserve"> [2.8,6.2]</t>
  </si>
  <si>
    <t>[18.8,32.4]</t>
  </si>
  <si>
    <t>[11.2,20.8]</t>
  </si>
  <si>
    <t>[11.0,21.5]</t>
  </si>
  <si>
    <t>[11.0,20.9]</t>
  </si>
  <si>
    <t>[15.7,27.0]</t>
  </si>
  <si>
    <t>[7.6,19.4]</t>
  </si>
  <si>
    <t>[12.9,27.7]</t>
  </si>
  <si>
    <t>[44.3,59.7]</t>
  </si>
  <si>
    <t>[50.2,63.4]</t>
  </si>
  <si>
    <t>[83.9,99.7]</t>
  </si>
  <si>
    <t>[36.0,82.0]</t>
  </si>
  <si>
    <t>[77.0,88.2]</t>
  </si>
  <si>
    <t>[67.8,86.4]</t>
  </si>
  <si>
    <t>[56.1,80.2]</t>
  </si>
  <si>
    <t xml:space="preserve"> [0.4,5.4]</t>
  </si>
  <si>
    <t>[7.9,17.4]</t>
  </si>
  <si>
    <t>[9.7,18.9]</t>
  </si>
  <si>
    <t>[16.4,27.5]</t>
  </si>
  <si>
    <t>[36.5,53.5]</t>
  </si>
  <si>
    <t>[38.3,56.2]</t>
  </si>
  <si>
    <t>[538979.268,928879.164]</t>
  </si>
  <si>
    <t>[288191.12,535212.08]</t>
  </si>
  <si>
    <t>[286196.68,559384.42]</t>
  </si>
  <si>
    <t>[260298.94,494567.986]</t>
  </si>
  <si>
    <t>[360754.6,620406]</t>
  </si>
  <si>
    <t>[109560.688,279668.072]</t>
  </si>
  <si>
    <t>[195605.151,420020.363]</t>
  </si>
  <si>
    <t>[1270041.573,1711545.867]</t>
  </si>
  <si>
    <t>[1291713.77,1631367.59]</t>
  </si>
  <si>
    <t>[2182900.132,2593982.636]</t>
  </si>
  <si>
    <t>[851887.44,1940410.28]</t>
  </si>
  <si>
    <t>[1769306,2026659.6]</t>
  </si>
  <si>
    <t>[977396.664,1245532.032]</t>
  </si>
  <si>
    <t>[850654.959,1216087.838]</t>
  </si>
  <si>
    <t>[10292.54,138949.29]</t>
  </si>
  <si>
    <t>[205541.252,452711.112]</t>
  </si>
  <si>
    <t>[229536.338,683876.306]</t>
  </si>
  <si>
    <t>[376839.2,631895]</t>
  </si>
  <si>
    <t>[526179.62,771249.58]</t>
  </si>
  <si>
    <t>[580750.177,852171.278]</t>
  </si>
  <si>
    <t>[1.63132,2.958548]</t>
  </si>
  <si>
    <t>[1.631747,2.11452]</t>
  </si>
  <si>
    <t>[1.262801,2.296949]</t>
  </si>
  <si>
    <t>[8.271824,9.635505]</t>
  </si>
  <si>
    <t>[1.520199,2.596518]</t>
  </si>
  <si>
    <t>[9.321704,10.52538]</t>
  </si>
  <si>
    <t>[1.360303,2.605125]</t>
  </si>
  <si>
    <t>[8.011709,9.474476]</t>
  </si>
  <si>
    <t>[1.284604,1.979178]</t>
  </si>
  <si>
    <t>[7.168684,8.647109]</t>
  </si>
  <si>
    <t>[1.849601,3.05777]</t>
  </si>
  <si>
    <t>[5.979567,7.389701]</t>
  </si>
  <si>
    <t>[1.415342,3.125973]</t>
  </si>
  <si>
    <t>[4.661919,6.5618]</t>
  </si>
  <si>
    <t>[2.63936,5.534812]</t>
  </si>
  <si>
    <t>[4.466355,7.117211]</t>
  </si>
  <si>
    <t>Prevalence (calculated from DT Index)</t>
  </si>
  <si>
    <t>Population numbers and calculations seem to be correct now. There is one smaller mistake that I wasn't aware of. One Year has 365,24 days (instead of 365,25 which is wrong) if leap years are included. If we use this more accurate number of days we also need to use a more accurate number of hours which is 8.765,82 hours/year if leap years are considered (instead of the more rough approximation of 8,760). We should change this in the calculation. Sorry.</t>
  </si>
  <si>
    <t>8.765,82 hours/ye</t>
  </si>
  <si>
    <t>YLDmild​=total prevalent teeth×0.412×365.24/8.765,82×DW</t>
  </si>
  <si>
    <t>YLD for 55 days = total prevalent teeth*0.189*55.2/365.24*0.01</t>
  </si>
  <si>
    <t>YLD for rest ​=total prevalent cases×0.189×(365.24−55.2)/8765.82​×DW</t>
  </si>
  <si>
    <t>lower ci</t>
  </si>
  <si>
    <t>upper ci</t>
  </si>
  <si>
    <t>lower yld</t>
  </si>
  <si>
    <t>upper yld</t>
  </si>
  <si>
    <t>yld per 100,000</t>
  </si>
  <si>
    <t>lower yld per 100,000</t>
  </si>
  <si>
    <t>upper yld per 100,000</t>
  </si>
  <si>
    <t>age</t>
  </si>
  <si>
    <t>periodontal prevalence CI</t>
  </si>
  <si>
    <t>edentulism prevalence CI</t>
  </si>
  <si>
    <t>male yld edentuiism</t>
  </si>
  <si>
    <t>male yld periodontitis</t>
  </si>
  <si>
    <t>upper yld per 100000</t>
  </si>
  <si>
    <t>lower yld per 100000</t>
  </si>
  <si>
    <t>prevalence per 100,000</t>
  </si>
  <si>
    <t>[493.5,633.5]</t>
  </si>
  <si>
    <t>[457.1,599.2]</t>
  </si>
  <si>
    <t>[550.9,623.7]</t>
  </si>
  <si>
    <t>[330.4,595.7]</t>
  </si>
  <si>
    <t>[410.9,501.9]</t>
  </si>
  <si>
    <t>[357.7,468.3]</t>
  </si>
  <si>
    <t>[539,617.4]</t>
  </si>
  <si>
    <t>[252,574]</t>
  </si>
  <si>
    <t>[587.3,697.9]</t>
  </si>
  <si>
    <t>[310.1,417.9]</t>
  </si>
  <si>
    <t>[351.4,443.8]</t>
  </si>
  <si>
    <t>[474.6,604.8]</t>
  </si>
  <si>
    <t>[392.7,561.4]</t>
  </si>
  <si>
    <t>[1909.5, 3336.6]</t>
  </si>
  <si>
    <t>[1681.7, 2894.4]</t>
  </si>
  <si>
    <t>[1139, 1902.8]</t>
  </si>
  <si>
    <t>[703.5,1413.7]</t>
  </si>
  <si>
    <t>[335, 917.9]</t>
  </si>
  <si>
    <t>[6.7, 328.3]</t>
  </si>
  <si>
    <t>[26.8, 361.8]</t>
  </si>
  <si>
    <t>[529.3, 1165.8]</t>
  </si>
  <si>
    <t>[649.9, 1936.3]</t>
  </si>
  <si>
    <t>[1098.8, 1842.5]</t>
  </si>
  <si>
    <t>[2445.5, 3584.5]</t>
  </si>
  <si>
    <t>[2566.1, 3765.4]</t>
  </si>
  <si>
    <t>Prevalence in 100,000</t>
  </si>
  <si>
    <t>lower mean</t>
  </si>
  <si>
    <t>upper mean</t>
  </si>
  <si>
    <t>lower no of decayed teeth</t>
  </si>
  <si>
    <t>upper dteeth</t>
  </si>
  <si>
    <t>lower ft mean</t>
  </si>
  <si>
    <t>upper ft mean</t>
  </si>
  <si>
    <t>lower fteeth</t>
  </si>
  <si>
    <t>upper fteeth</t>
  </si>
  <si>
    <t>lower*0.5</t>
  </si>
  <si>
    <t>upper *0.5</t>
  </si>
  <si>
    <t>sum lower</t>
  </si>
  <si>
    <t>sum upper</t>
  </si>
  <si>
    <t>yld lower</t>
  </si>
  <si>
    <t>yld upper</t>
  </si>
  <si>
    <t>yld lower 100k</t>
  </si>
  <si>
    <t>yld upper 1000k</t>
  </si>
  <si>
    <t>yld 55 days lower</t>
  </si>
  <si>
    <t>yld 55 upper</t>
  </si>
  <si>
    <t>yld rest lower</t>
  </si>
  <si>
    <t>yld rest upper</t>
  </si>
  <si>
    <t>total lower</t>
  </si>
  <si>
    <t>total upper</t>
  </si>
  <si>
    <t>lower 100k</t>
  </si>
  <si>
    <t>upper 100k</t>
  </si>
  <si>
    <t>lower decayed</t>
  </si>
  <si>
    <t>upper decayed</t>
  </si>
  <si>
    <t>lower filled mean</t>
  </si>
  <si>
    <t>upper filled mean</t>
  </si>
  <si>
    <t>lower filled</t>
  </si>
  <si>
    <t>upper filled</t>
  </si>
  <si>
    <t>lowerfilled05</t>
  </si>
  <si>
    <t>upper filled05</t>
  </si>
  <si>
    <t>yld upper 100k</t>
  </si>
  <si>
    <t>lower yld 55</t>
  </si>
  <si>
    <t>upper yld 55</t>
  </si>
  <si>
    <t>lwoer yld rest</t>
  </si>
  <si>
    <t>upper yld rest</t>
  </si>
  <si>
    <t>[19574.464,36137.472]</t>
  </si>
  <si>
    <t>[9985.836,22111.494]</t>
  </si>
  <si>
    <t>lower decayed mean</t>
  </si>
  <si>
    <t>upper decayed mean</t>
  </si>
  <si>
    <t>lower prevalence</t>
  </si>
  <si>
    <t>upper prevalence</t>
  </si>
  <si>
    <t>lower prevalence per 100,</t>
  </si>
  <si>
    <t>upp per 100</t>
  </si>
  <si>
    <t>[60923.809634072, 91849.34871196]</t>
  </si>
  <si>
    <t>[16184.54585,24399.98425]</t>
  </si>
  <si>
    <t>CI prevalence teeth</t>
  </si>
  <si>
    <t>lower yld mild</t>
  </si>
  <si>
    <t>upper yld mild</t>
  </si>
  <si>
    <t>population</t>
  </si>
  <si>
    <t>yld mild per 1000 lower</t>
  </si>
  <si>
    <t>upper</t>
  </si>
  <si>
    <t>lower yld rest</t>
  </si>
  <si>
    <t>lower combined</t>
  </si>
  <si>
    <t>upper combine</t>
  </si>
  <si>
    <t>pop</t>
  </si>
  <si>
    <t>lower 10000</t>
  </si>
  <si>
    <t>upper 1000</t>
  </si>
  <si>
    <t>[2.77832802044378,4.18863529239625]</t>
  </si>
  <si>
    <t>[5.70489213002131,8.60075280521195]</t>
  </si>
  <si>
    <t>lower decay mean</t>
  </si>
  <si>
    <t>upper decay mean</t>
  </si>
  <si>
    <t>lower sum</t>
  </si>
  <si>
    <t>upper sum</t>
  </si>
  <si>
    <t>lower per 100</t>
  </si>
  <si>
    <t>upper per 100</t>
  </si>
  <si>
    <t>[36655.909426899,60151.800143232]</t>
  </si>
  <si>
    <t>lower mild</t>
  </si>
  <si>
    <t>lowr mild 100</t>
  </si>
  <si>
    <t>upper mild 100</t>
  </si>
  <si>
    <t>upper mild</t>
  </si>
  <si>
    <t>lower 55</t>
  </si>
  <si>
    <t>upper 55</t>
  </si>
  <si>
    <t>lower rest</t>
  </si>
  <si>
    <t>upper rest</t>
  </si>
  <si>
    <t>lower 100</t>
  </si>
  <si>
    <t>upper 100</t>
  </si>
  <si>
    <t>[3.62296818745242,5.94523670928226]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</si>
</sst>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000000"/>
      <name val="Times New Roman"/>
      <family val="1"/>
    </font>
    <font>
      <b/>
      <sz val="11"/>
      <color rgb="FF000000"/>
      <name val="Times New Roman"/>
      <family val="1"/>
    </font>
    <font>
      <b/>
      <sz val="11"/>
      <color rgb="FF000000"/>
      <name val="Calibri"/>
      <family val="2"/>
    </font>
    <font>
      <sz val="10"/>
      <name val="Times New Roman"/>
      <family val="1"/>
    </font>
    <font>
      <sz val="12"/>
      <color rgb="FF212121"/>
      <name val="Segoe UI"/>
      <family val="2"/>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0" borderId="0" xfId="0" applyFont="1" applyAlignment="1">
      <alignment horizontal="center" vertical="center" wrapText="1" readingOrder="1"/>
    </xf>
    <xf numFmtId="0" fontId="1" fillId="2" borderId="0" xfId="0" applyFont="1" applyFill="1" applyAlignment="1">
      <alignment horizontal="center" vertical="center" wrapText="1" readingOrder="1"/>
    </xf>
    <xf numFmtId="0" fontId="2" fillId="0" borderId="0" xfId="0" applyFont="1" applyAlignment="1">
      <alignment horizontal="center" vertical="center" wrapText="1" readingOrder="1"/>
    </xf>
    <xf numFmtId="0" fontId="1" fillId="0" borderId="0" xfId="0" applyFont="1" applyAlignment="1">
      <alignment horizontal="left" vertical="center"/>
    </xf>
    <xf numFmtId="0" fontId="1" fillId="0" borderId="0" xfId="0" applyFont="1" applyAlignment="1">
      <alignment horizontal="right" vertical="center"/>
    </xf>
    <xf numFmtId="0" fontId="1" fillId="0" borderId="0" xfId="0" applyFont="1" applyAlignment="1">
      <alignment vertical="center"/>
    </xf>
    <xf numFmtId="0" fontId="1" fillId="0" borderId="0" xfId="0" applyFont="1" applyAlignment="1">
      <alignment horizontal="center"/>
    </xf>
    <xf numFmtId="4" fontId="0" fillId="0" borderId="0" xfId="0" applyNumberFormat="1"/>
    <xf numFmtId="0" fontId="3" fillId="0" borderId="0" xfId="0" applyFont="1"/>
    <xf numFmtId="4" fontId="3" fillId="0" borderId="0" xfId="0" applyNumberFormat="1" applyFont="1"/>
    <xf numFmtId="0" fontId="4" fillId="0" borderId="0" xfId="0" applyFont="1" applyAlignment="1">
      <alignment horizontal="left" vertical="center" wrapText="1" readingOrder="1"/>
    </xf>
    <xf numFmtId="0" fontId="5" fillId="0" borderId="0" xfId="0" applyFon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807EA-CF99-486D-965B-1C675BE5ADEE}">
  <dimension ref="A1:AA34"/>
  <sheetViews>
    <sheetView zoomScale="75" workbookViewId="0">
      <selection activeCell="D3" sqref="D3"/>
    </sheetView>
  </sheetViews>
  <sheetFormatPr defaultColWidth="11.109375" defaultRowHeight="13.8" x14ac:dyDescent="0.3"/>
  <cols>
    <col min="1" max="1" width="9" style="1" bestFit="1" customWidth="1"/>
    <col min="2" max="2" width="25.21875" style="1" customWidth="1"/>
    <col min="3" max="3" width="25.44140625" style="1" customWidth="1"/>
    <col min="4" max="4" width="21.77734375" style="1" bestFit="1" customWidth="1"/>
    <col min="5" max="5" width="12.6640625" style="1" bestFit="1" customWidth="1"/>
    <col min="6" max="6" width="27.5546875" style="1" customWidth="1"/>
    <col min="7" max="7" width="18.88671875" style="1" bestFit="1" customWidth="1"/>
    <col min="8" max="8" width="13.33203125" style="1" bestFit="1" customWidth="1"/>
    <col min="9" max="9" width="9.88671875" style="1" bestFit="1" customWidth="1"/>
    <col min="10" max="16384" width="11.109375" style="1"/>
  </cols>
  <sheetData>
    <row r="1" spans="1:14" x14ac:dyDescent="0.3">
      <c r="B1" s="1" t="s">
        <v>0</v>
      </c>
    </row>
    <row r="2" spans="1:14" x14ac:dyDescent="0.3">
      <c r="A2" s="1" t="s">
        <v>1</v>
      </c>
      <c r="B2" s="1" t="s">
        <v>2</v>
      </c>
      <c r="C2" s="1" t="s">
        <v>3</v>
      </c>
      <c r="D2" s="1" t="s">
        <v>4</v>
      </c>
      <c r="E2" s="1" t="s">
        <v>5</v>
      </c>
      <c r="F2" s="1" t="s">
        <v>6</v>
      </c>
      <c r="H2" s="2" t="s">
        <v>7</v>
      </c>
      <c r="I2" s="2" t="s">
        <v>8</v>
      </c>
    </row>
    <row r="3" spans="1:14" ht="14.4" x14ac:dyDescent="0.3">
      <c r="A3" s="1">
        <v>12</v>
      </c>
      <c r="B3">
        <v>376432</v>
      </c>
      <c r="C3" s="1">
        <v>7.1</v>
      </c>
      <c r="D3" s="1">
        <f>B3/100*C3</f>
        <v>26726.671999999999</v>
      </c>
      <c r="E3" s="3" t="s">
        <v>9</v>
      </c>
      <c r="F3" s="1" t="s">
        <v>243</v>
      </c>
      <c r="H3" s="4">
        <f>B3/100*5.2</f>
        <v>19574.464</v>
      </c>
      <c r="I3" s="2">
        <f>B3/100*9.6</f>
        <v>36137.472000000002</v>
      </c>
      <c r="K3" s="1" t="s">
        <v>243</v>
      </c>
      <c r="L3" s="1">
        <v>36137.472000000002</v>
      </c>
    </row>
    <row r="4" spans="1:14" x14ac:dyDescent="0.3">
      <c r="A4" s="1" t="s">
        <v>10</v>
      </c>
      <c r="B4" s="1">
        <v>2916304</v>
      </c>
      <c r="C4" s="1">
        <v>29.3</v>
      </c>
      <c r="D4" s="1">
        <f t="shared" ref="D4:D10" si="0">B4/100*C4</f>
        <v>854477.07200000004</v>
      </c>
      <c r="E4" s="3" t="s">
        <v>11</v>
      </c>
      <c r="F4" s="1" t="s">
        <v>12</v>
      </c>
      <c r="H4" s="4">
        <f>B4/100*22.3</f>
        <v>650335.79200000002</v>
      </c>
      <c r="I4" s="2">
        <f>B4/100*37.3</f>
        <v>1087781.392</v>
      </c>
    </row>
    <row r="5" spans="1:14" x14ac:dyDescent="0.3">
      <c r="A5" s="1" t="s">
        <v>13</v>
      </c>
      <c r="B5" s="1">
        <v>2611144</v>
      </c>
      <c r="C5" s="1">
        <v>29.8</v>
      </c>
      <c r="D5" s="1">
        <f t="shared" si="0"/>
        <v>778120.91200000001</v>
      </c>
      <c r="E5" s="3" t="s">
        <v>14</v>
      </c>
      <c r="F5" s="1" t="s">
        <v>15</v>
      </c>
      <c r="H5" s="4">
        <f>B5/100*23.6</f>
        <v>616229.98400000005</v>
      </c>
      <c r="I5" s="2">
        <f>B5/100*36.8</f>
        <v>960900.99199999985</v>
      </c>
    </row>
    <row r="6" spans="1:14" x14ac:dyDescent="0.3">
      <c r="A6" s="1" t="s">
        <v>16</v>
      </c>
      <c r="B6" s="1">
        <v>2411642</v>
      </c>
      <c r="C6" s="1">
        <v>32</v>
      </c>
      <c r="D6" s="1">
        <f t="shared" si="0"/>
        <v>771725.44</v>
      </c>
      <c r="E6" s="3" t="s">
        <v>17</v>
      </c>
      <c r="F6" s="1" t="s">
        <v>18</v>
      </c>
      <c r="H6" s="4">
        <f>B6/100*25.3</f>
        <v>610145.42599999998</v>
      </c>
      <c r="I6" s="2">
        <f>B6/100*39.6</f>
        <v>955010.23199999996</v>
      </c>
    </row>
    <row r="7" spans="1:14" x14ac:dyDescent="0.3">
      <c r="A7" s="1" t="s">
        <v>19</v>
      </c>
      <c r="B7" s="1">
        <v>2059860</v>
      </c>
      <c r="C7" s="1">
        <v>23.2</v>
      </c>
      <c r="D7" s="1">
        <f t="shared" si="0"/>
        <v>477887.51999999996</v>
      </c>
      <c r="E7" s="3" t="s">
        <v>20</v>
      </c>
      <c r="F7" s="1" t="s">
        <v>21</v>
      </c>
      <c r="H7" s="4">
        <f>B7/100*17.8</f>
        <v>366655.08</v>
      </c>
      <c r="I7" s="2">
        <f>B7/100*29.6</f>
        <v>609718.55999999994</v>
      </c>
    </row>
    <row r="8" spans="1:14" x14ac:dyDescent="0.3">
      <c r="A8" s="1" t="s">
        <v>22</v>
      </c>
      <c r="B8" s="1">
        <v>1811505</v>
      </c>
      <c r="C8" s="1">
        <v>22.9</v>
      </c>
      <c r="D8" s="1">
        <f t="shared" si="0"/>
        <v>414834.64499999996</v>
      </c>
      <c r="E8" s="3" t="s">
        <v>23</v>
      </c>
      <c r="F8" s="1" t="s">
        <v>24</v>
      </c>
      <c r="H8" s="4">
        <f>B8/100*17.9</f>
        <v>324259.39499999996</v>
      </c>
      <c r="I8" s="2">
        <f>B8/100*28.8</f>
        <v>521713.44</v>
      </c>
    </row>
    <row r="9" spans="1:14" x14ac:dyDescent="0.3">
      <c r="A9" s="1" t="s">
        <v>25</v>
      </c>
      <c r="B9" s="1">
        <v>955114</v>
      </c>
      <c r="C9" s="1">
        <v>24.3</v>
      </c>
      <c r="D9" s="1">
        <f t="shared" si="0"/>
        <v>232092.70199999999</v>
      </c>
      <c r="E9" s="3" t="s">
        <v>26</v>
      </c>
      <c r="F9" s="1" t="s">
        <v>27</v>
      </c>
      <c r="H9" s="4">
        <f>B9/100*16.8</f>
        <v>160459.152</v>
      </c>
      <c r="I9" s="2">
        <f>B9/100*33.8</f>
        <v>322828.53199999995</v>
      </c>
    </row>
    <row r="10" spans="1:14" x14ac:dyDescent="0.3">
      <c r="A10" s="1" t="s">
        <v>28</v>
      </c>
      <c r="B10" s="1">
        <v>631277</v>
      </c>
      <c r="C10" s="1">
        <v>19</v>
      </c>
      <c r="D10" s="1">
        <f t="shared" si="0"/>
        <v>119942.63</v>
      </c>
      <c r="E10" s="3" t="s">
        <v>29</v>
      </c>
      <c r="F10" s="1" t="s">
        <v>30</v>
      </c>
      <c r="H10" s="4">
        <f>B10/100*11.7</f>
        <v>73859.409</v>
      </c>
      <c r="I10" s="2">
        <f>B10/100*29.3</f>
        <v>184964.16100000002</v>
      </c>
    </row>
    <row r="12" spans="1:14" x14ac:dyDescent="0.3">
      <c r="N12" s="3"/>
    </row>
    <row r="13" spans="1:14" x14ac:dyDescent="0.3">
      <c r="B13" s="1" t="s">
        <v>31</v>
      </c>
      <c r="N13" s="3"/>
    </row>
    <row r="14" spans="1:14" x14ac:dyDescent="0.3">
      <c r="A14" s="1" t="s">
        <v>1</v>
      </c>
      <c r="B14" s="1" t="s">
        <v>2</v>
      </c>
      <c r="C14" s="1" t="s">
        <v>32</v>
      </c>
      <c r="D14" s="1" t="s">
        <v>4</v>
      </c>
      <c r="E14" s="1" t="s">
        <v>5</v>
      </c>
      <c r="F14" s="1" t="s">
        <v>6</v>
      </c>
      <c r="H14" s="2" t="s">
        <v>7</v>
      </c>
      <c r="I14" s="2" t="s">
        <v>8</v>
      </c>
      <c r="N14" s="3"/>
    </row>
    <row r="15" spans="1:14" ht="14.4" x14ac:dyDescent="0.3">
      <c r="A15" s="1">
        <v>12</v>
      </c>
      <c r="B15">
        <v>376432</v>
      </c>
      <c r="C15" s="1">
        <f>-D15</f>
        <v>0</v>
      </c>
      <c r="D15" s="1">
        <v>0</v>
      </c>
      <c r="H15" s="2"/>
      <c r="I15" s="2"/>
      <c r="N15" s="3"/>
    </row>
    <row r="16" spans="1:14" x14ac:dyDescent="0.3">
      <c r="A16" s="1" t="s">
        <v>10</v>
      </c>
      <c r="B16" s="1">
        <v>2916304</v>
      </c>
      <c r="C16" s="1">
        <v>59.2</v>
      </c>
      <c r="D16" s="1">
        <f t="shared" ref="D16:D22" si="1">B16/100*C16</f>
        <v>1726451.9680000001</v>
      </c>
      <c r="E16" s="3" t="s">
        <v>33</v>
      </c>
      <c r="F16" s="1" t="s">
        <v>34</v>
      </c>
      <c r="H16" s="2">
        <f>B16/100*51.1</f>
        <v>1490231.344</v>
      </c>
      <c r="I16" s="2">
        <f>B16/100*66.9</f>
        <v>1951007.3760000002</v>
      </c>
      <c r="N16" s="3"/>
    </row>
    <row r="17" spans="1:27" x14ac:dyDescent="0.3">
      <c r="A17" s="1" t="s">
        <v>13</v>
      </c>
      <c r="B17" s="1">
        <v>2611144</v>
      </c>
      <c r="C17" s="1">
        <v>65.5</v>
      </c>
      <c r="D17" s="1">
        <f t="shared" si="1"/>
        <v>1710299.3199999998</v>
      </c>
      <c r="E17" s="3" t="s">
        <v>35</v>
      </c>
      <c r="F17" s="1" t="s">
        <v>36</v>
      </c>
      <c r="H17" s="2">
        <f>B17/100*58.7</f>
        <v>1532741.5279999999</v>
      </c>
      <c r="I17" s="2">
        <f>B17/100*71.7</f>
        <v>1872190.2479999999</v>
      </c>
      <c r="N17" s="3"/>
    </row>
    <row r="18" spans="1:27" x14ac:dyDescent="0.3">
      <c r="A18" s="1" t="s">
        <v>16</v>
      </c>
      <c r="B18" s="1">
        <v>2411642</v>
      </c>
      <c r="C18" s="1">
        <v>100</v>
      </c>
      <c r="D18" s="1">
        <f t="shared" si="1"/>
        <v>2411642</v>
      </c>
      <c r="E18" s="3"/>
      <c r="H18" s="2"/>
      <c r="I18" s="2"/>
      <c r="V18" s="5"/>
      <c r="W18" s="5"/>
      <c r="X18" s="5"/>
      <c r="Y18" s="5"/>
      <c r="Z18" s="5"/>
      <c r="AA18" s="5"/>
    </row>
    <row r="19" spans="1:27" x14ac:dyDescent="0.3">
      <c r="A19" s="1" t="s">
        <v>19</v>
      </c>
      <c r="B19" s="1">
        <v>2059860</v>
      </c>
      <c r="C19" s="1">
        <v>69.3</v>
      </c>
      <c r="D19" s="1">
        <f t="shared" si="1"/>
        <v>1427482.9799999997</v>
      </c>
      <c r="E19" s="3" t="s">
        <v>37</v>
      </c>
      <c r="F19" s="1" t="s">
        <v>38</v>
      </c>
      <c r="H19" s="2">
        <f>B19/100*47.2</f>
        <v>972253.92</v>
      </c>
      <c r="I19" s="2">
        <f>B19/100*85.1</f>
        <v>1752940.8599999999</v>
      </c>
      <c r="V19" s="5"/>
      <c r="W19" s="5"/>
      <c r="X19" s="5"/>
      <c r="Y19" s="5"/>
      <c r="Z19" s="5"/>
      <c r="AA19" s="5"/>
    </row>
    <row r="20" spans="1:27" x14ac:dyDescent="0.3">
      <c r="A20" s="1" t="s">
        <v>22</v>
      </c>
      <c r="B20" s="1">
        <v>1811505</v>
      </c>
      <c r="C20" s="1">
        <v>84.6</v>
      </c>
      <c r="D20" s="1">
        <f t="shared" si="1"/>
        <v>1532533.2299999997</v>
      </c>
      <c r="E20" s="3" t="s">
        <v>39</v>
      </c>
      <c r="F20" s="1" t="s">
        <v>40</v>
      </c>
      <c r="H20" s="2">
        <f>B20/100*78.7</f>
        <v>1425654.4350000001</v>
      </c>
      <c r="I20" s="2">
        <f>B20/100*89.1</f>
        <v>1614050.9549999998</v>
      </c>
      <c r="J20" s="5"/>
      <c r="K20" s="5"/>
      <c r="L20" s="5"/>
      <c r="M20" s="5"/>
      <c r="N20" s="5"/>
      <c r="O20" s="5"/>
      <c r="P20" s="5"/>
      <c r="Q20" s="5"/>
      <c r="R20" s="5"/>
      <c r="V20" s="5"/>
      <c r="W20" s="5"/>
      <c r="X20" s="5"/>
      <c r="Y20" s="5"/>
      <c r="Z20" s="5"/>
      <c r="AA20" s="5"/>
    </row>
    <row r="21" spans="1:27" x14ac:dyDescent="0.3">
      <c r="A21" s="1" t="s">
        <v>25</v>
      </c>
      <c r="B21" s="1">
        <v>955114</v>
      </c>
      <c r="C21" s="1">
        <v>77</v>
      </c>
      <c r="D21" s="1">
        <f t="shared" si="1"/>
        <v>735437.77999999991</v>
      </c>
      <c r="E21" s="3" t="s">
        <v>41</v>
      </c>
      <c r="F21" s="1" t="s">
        <v>42</v>
      </c>
      <c r="H21" s="2">
        <f>B21/100*65.3</f>
        <v>623689.44199999992</v>
      </c>
      <c r="I21" s="2">
        <f>B21/100*85.6</f>
        <v>817577.58399999992</v>
      </c>
      <c r="J21" s="5"/>
      <c r="K21" s="5"/>
      <c r="L21" s="5"/>
      <c r="M21" s="5"/>
      <c r="N21" s="5"/>
      <c r="O21" s="5"/>
      <c r="P21" s="5"/>
      <c r="Q21" s="5"/>
      <c r="R21" s="5"/>
    </row>
    <row r="22" spans="1:27" x14ac:dyDescent="0.3">
      <c r="A22" s="1" t="s">
        <v>28</v>
      </c>
      <c r="B22" s="1">
        <v>631277</v>
      </c>
      <c r="C22" s="1">
        <v>82.7</v>
      </c>
      <c r="D22" s="1">
        <f t="shared" si="1"/>
        <v>522066.07900000003</v>
      </c>
      <c r="E22" s="3" t="s">
        <v>43</v>
      </c>
      <c r="F22" s="1" t="s">
        <v>44</v>
      </c>
      <c r="H22" s="2">
        <f>B22/100*70.5</f>
        <v>445050.28500000003</v>
      </c>
      <c r="I22" s="2">
        <f>B22/100*90.5</f>
        <v>571305.68500000006</v>
      </c>
      <c r="J22" s="5"/>
      <c r="K22" s="5"/>
      <c r="L22" s="5"/>
      <c r="M22" s="5"/>
      <c r="N22" s="5"/>
      <c r="O22" s="5"/>
      <c r="P22" s="5"/>
      <c r="Q22" s="5"/>
      <c r="R22" s="5"/>
    </row>
    <row r="25" spans="1:27" x14ac:dyDescent="0.3">
      <c r="B25" s="1" t="s">
        <v>45</v>
      </c>
    </row>
    <row r="26" spans="1:27" x14ac:dyDescent="0.3">
      <c r="B26" s="1" t="s">
        <v>2</v>
      </c>
      <c r="C26" s="1" t="s">
        <v>46</v>
      </c>
      <c r="D26" s="1" t="s">
        <v>4</v>
      </c>
      <c r="E26" s="1" t="s">
        <v>5</v>
      </c>
      <c r="F26" s="1" t="s">
        <v>6</v>
      </c>
      <c r="H26" s="2" t="s">
        <v>7</v>
      </c>
      <c r="I26" s="2" t="s">
        <v>8</v>
      </c>
    </row>
    <row r="27" spans="1:27" ht="14.4" x14ac:dyDescent="0.3">
      <c r="A27" s="1">
        <v>12</v>
      </c>
      <c r="B27">
        <v>376432</v>
      </c>
      <c r="C27" s="1">
        <v>0</v>
      </c>
      <c r="D27" s="3">
        <v>0</v>
      </c>
      <c r="E27" s="1">
        <v>0</v>
      </c>
      <c r="F27" s="1">
        <v>0</v>
      </c>
      <c r="H27" s="2"/>
      <c r="I27" s="2"/>
    </row>
    <row r="28" spans="1:27" x14ac:dyDescent="0.3">
      <c r="A28" s="1" t="s">
        <v>10</v>
      </c>
      <c r="B28" s="1">
        <v>2916304</v>
      </c>
      <c r="C28" s="1">
        <v>0</v>
      </c>
      <c r="D28" s="1">
        <v>0</v>
      </c>
      <c r="E28" s="1">
        <v>0</v>
      </c>
      <c r="F28" s="1">
        <v>0</v>
      </c>
      <c r="H28" s="2"/>
      <c r="I28" s="2"/>
    </row>
    <row r="29" spans="1:27" x14ac:dyDescent="0.3">
      <c r="A29" s="1" t="s">
        <v>13</v>
      </c>
      <c r="B29" s="1">
        <v>2611144</v>
      </c>
      <c r="C29" s="1">
        <v>0.7</v>
      </c>
      <c r="D29" s="1">
        <f t="shared" ref="D29:D34" si="2">B29/100*C29</f>
        <v>18278.007999999998</v>
      </c>
      <c r="E29" s="3" t="s">
        <v>47</v>
      </c>
      <c r="F29" s="1" t="s">
        <v>48</v>
      </c>
      <c r="H29" s="2">
        <f>B29/100*0.1</f>
        <v>2611.1440000000002</v>
      </c>
      <c r="I29" s="2">
        <f>B29/100*4.9</f>
        <v>127946.056</v>
      </c>
    </row>
    <row r="30" spans="1:27" x14ac:dyDescent="0.3">
      <c r="A30" s="1" t="s">
        <v>16</v>
      </c>
      <c r="B30" s="1">
        <v>2411642</v>
      </c>
      <c r="C30" s="1">
        <v>8.4</v>
      </c>
      <c r="D30" s="1">
        <f t="shared" si="2"/>
        <v>202577.92799999999</v>
      </c>
      <c r="E30" s="3" t="s">
        <v>49</v>
      </c>
      <c r="F30" s="1" t="s">
        <v>50</v>
      </c>
      <c r="H30" s="2">
        <f>B30/100*5</f>
        <v>120582.09999999999</v>
      </c>
      <c r="I30" s="2">
        <f>B30/100*13.7</f>
        <v>330394.95399999997</v>
      </c>
    </row>
    <row r="31" spans="1:27" x14ac:dyDescent="0.3">
      <c r="A31" s="1" t="s">
        <v>19</v>
      </c>
      <c r="B31" s="1">
        <v>2059860</v>
      </c>
      <c r="C31" s="1">
        <v>15.1</v>
      </c>
      <c r="D31" s="1">
        <f t="shared" si="2"/>
        <v>311038.86</v>
      </c>
      <c r="E31" s="3" t="s">
        <v>51</v>
      </c>
      <c r="F31" s="1" t="s">
        <v>52</v>
      </c>
      <c r="H31" s="2">
        <f>B31/100*10.5</f>
        <v>216285.3</v>
      </c>
      <c r="I31" s="2">
        <f>B31/100*21.1</f>
        <v>434630.46</v>
      </c>
    </row>
    <row r="32" spans="1:27" x14ac:dyDescent="0.3">
      <c r="A32" s="1" t="s">
        <v>22</v>
      </c>
      <c r="B32" s="1">
        <v>1811505</v>
      </c>
      <c r="C32" s="1">
        <v>22.1</v>
      </c>
      <c r="D32" s="1">
        <f t="shared" si="2"/>
        <v>400342.60499999998</v>
      </c>
      <c r="E32" s="3" t="s">
        <v>53</v>
      </c>
      <c r="F32" s="1" t="s">
        <v>54</v>
      </c>
      <c r="H32" s="2">
        <f>B32/100*17</f>
        <v>307955.84999999998</v>
      </c>
      <c r="I32" s="2">
        <f>B32/100*28.4</f>
        <v>514467.41999999993</v>
      </c>
    </row>
    <row r="33" spans="1:9" x14ac:dyDescent="0.3">
      <c r="A33" s="1" t="s">
        <v>25</v>
      </c>
      <c r="B33" s="1">
        <v>955114</v>
      </c>
      <c r="C33" s="1">
        <v>33.6</v>
      </c>
      <c r="D33" s="1">
        <f t="shared" si="2"/>
        <v>320918.304</v>
      </c>
      <c r="E33" s="3" t="s">
        <v>55</v>
      </c>
      <c r="F33" s="1" t="s">
        <v>56</v>
      </c>
      <c r="H33" s="2">
        <f>B33/100*25.1</f>
        <v>239733.614</v>
      </c>
      <c r="I33" s="2">
        <f>B33/100*43.2</f>
        <v>412609.24800000002</v>
      </c>
    </row>
    <row r="34" spans="1:9" x14ac:dyDescent="0.3">
      <c r="A34" s="1" t="s">
        <v>28</v>
      </c>
      <c r="B34" s="1">
        <v>631277</v>
      </c>
      <c r="C34" s="1">
        <v>38.6</v>
      </c>
      <c r="D34" s="1">
        <f t="shared" si="2"/>
        <v>243672.92200000002</v>
      </c>
      <c r="E34" s="3" t="s">
        <v>57</v>
      </c>
      <c r="F34" s="1" t="s">
        <v>58</v>
      </c>
      <c r="H34" s="2">
        <f>B34/100*28.5</f>
        <v>179913.94500000001</v>
      </c>
      <c r="I34" s="2">
        <f>B34/100*49.8</f>
        <v>314375.946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D32F7-FB20-4DF3-B021-6BFD6E30D354}">
  <dimension ref="A1:U51"/>
  <sheetViews>
    <sheetView zoomScale="71" workbookViewId="0">
      <selection activeCell="K2" sqref="K2"/>
    </sheetView>
  </sheetViews>
  <sheetFormatPr defaultRowHeight="13.8" x14ac:dyDescent="0.3"/>
  <cols>
    <col min="1" max="1" width="9.77734375" style="1" bestFit="1" customWidth="1"/>
    <col min="2" max="2" width="9.77734375" style="1" customWidth="1"/>
    <col min="3" max="3" width="16.21875" style="1" bestFit="1" customWidth="1"/>
    <col min="4" max="4" width="18.77734375" style="1" bestFit="1" customWidth="1"/>
    <col min="5" max="5" width="22.88671875" style="1" bestFit="1" customWidth="1"/>
    <col min="6" max="6" width="15.88671875" style="1" bestFit="1" customWidth="1"/>
    <col min="7" max="7" width="18.21875" style="1" bestFit="1" customWidth="1"/>
    <col min="8" max="8" width="20.109375" style="1" bestFit="1" customWidth="1"/>
    <col min="9" max="9" width="14.5546875" style="1" bestFit="1" customWidth="1"/>
    <col min="10" max="10" width="46.44140625" style="1" bestFit="1" customWidth="1"/>
    <col min="11" max="11" width="36.77734375" style="1" customWidth="1"/>
    <col min="12" max="12" width="12" style="1" bestFit="1" customWidth="1"/>
    <col min="13" max="13" width="21.109375" style="1" bestFit="1" customWidth="1"/>
    <col min="14" max="14" width="15.44140625" style="1" bestFit="1" customWidth="1"/>
    <col min="15" max="15" width="11.109375" style="1" bestFit="1" customWidth="1"/>
    <col min="16" max="17" width="12" style="1" bestFit="1" customWidth="1"/>
    <col min="18" max="18" width="9.44140625" style="1" bestFit="1" customWidth="1"/>
    <col min="19" max="19" width="9.5546875" style="1" bestFit="1" customWidth="1"/>
    <col min="20" max="16384" width="8.88671875" style="1"/>
  </cols>
  <sheetData>
    <row r="1" spans="1:17" x14ac:dyDescent="0.3">
      <c r="A1" s="1" t="s">
        <v>1</v>
      </c>
      <c r="B1" s="6" t="s">
        <v>159</v>
      </c>
      <c r="C1" s="1" t="s">
        <v>59</v>
      </c>
      <c r="D1" s="2" t="s">
        <v>60</v>
      </c>
      <c r="E1" s="1" t="s">
        <v>61</v>
      </c>
      <c r="F1" s="1" t="s">
        <v>62</v>
      </c>
      <c r="G1" s="2" t="s">
        <v>60</v>
      </c>
      <c r="H1" s="1" t="s">
        <v>63</v>
      </c>
      <c r="I1" s="1" t="s">
        <v>64</v>
      </c>
      <c r="J1" s="1" t="s">
        <v>65</v>
      </c>
      <c r="K1" s="1" t="s">
        <v>2</v>
      </c>
      <c r="L1" s="1" t="s">
        <v>179</v>
      </c>
    </row>
    <row r="2" spans="1:17" ht="14.4" x14ac:dyDescent="0.3">
      <c r="A2" s="1">
        <v>12</v>
      </c>
      <c r="B2" s="1">
        <v>26726.671999999999</v>
      </c>
      <c r="C2" s="1">
        <v>1.717198</v>
      </c>
      <c r="D2" s="2" t="s">
        <v>66</v>
      </c>
      <c r="E2" s="1">
        <f>B2*C2</f>
        <v>45894.987705055995</v>
      </c>
      <c r="F2" s="1">
        <v>2.2817349999999998</v>
      </c>
      <c r="G2" s="2" t="s">
        <v>67</v>
      </c>
      <c r="H2" s="1">
        <f>B2*F2</f>
        <v>60983.182935919991</v>
      </c>
      <c r="I2" s="1">
        <f>H2*0.5</f>
        <v>30491.591467959995</v>
      </c>
      <c r="J2" s="1">
        <f>E2+I2</f>
        <v>76386.579173015984</v>
      </c>
      <c r="K2">
        <v>376432</v>
      </c>
      <c r="L2" s="1">
        <f>J2/K2*100000</f>
        <v>20292.265049999998</v>
      </c>
    </row>
    <row r="3" spans="1:17" x14ac:dyDescent="0.3">
      <c r="A3" s="1" t="s">
        <v>10</v>
      </c>
      <c r="B3" s="1">
        <v>854477.07200000004</v>
      </c>
      <c r="C3" s="1">
        <v>2.5084680000000001</v>
      </c>
      <c r="D3" s="2" t="s">
        <v>68</v>
      </c>
      <c r="E3" s="1">
        <f t="shared" ref="E3:E9" si="0">B3*C3</f>
        <v>2143428.3918456961</v>
      </c>
      <c r="F3" s="1">
        <v>8.7027739999999998</v>
      </c>
      <c r="G3" s="2" t="s">
        <v>69</v>
      </c>
      <c r="H3" s="1">
        <f t="shared" ref="H3:H9" si="1">B3*F3</f>
        <v>7436320.8457977278</v>
      </c>
      <c r="I3" s="1">
        <f t="shared" ref="I3:I9" si="2">H3*0.5</f>
        <v>3718160.4228988639</v>
      </c>
      <c r="J3" s="1">
        <f t="shared" ref="J3:J9" si="3">E3+I3</f>
        <v>5861588.81474456</v>
      </c>
      <c r="K3" s="1">
        <v>2916304</v>
      </c>
      <c r="L3" s="1">
        <f t="shared" ref="L3:L9" si="4">J3/K3*100000</f>
        <v>200993.75149999998</v>
      </c>
    </row>
    <row r="4" spans="1:17" x14ac:dyDescent="0.3">
      <c r="A4" s="1" t="s">
        <v>13</v>
      </c>
      <c r="B4" s="1">
        <v>778120.91200000001</v>
      </c>
      <c r="C4" s="1">
        <v>2.320271</v>
      </c>
      <c r="D4" s="2" t="s">
        <v>70</v>
      </c>
      <c r="E4" s="1">
        <f t="shared" si="0"/>
        <v>1805451.3866071519</v>
      </c>
      <c r="F4" s="1">
        <v>8.94787</v>
      </c>
      <c r="G4" s="2" t="s">
        <v>71</v>
      </c>
      <c r="H4" s="1">
        <f t="shared" si="1"/>
        <v>6962524.7648574403</v>
      </c>
      <c r="I4" s="1">
        <f t="shared" si="2"/>
        <v>3481262.3824287201</v>
      </c>
      <c r="J4" s="1">
        <f t="shared" si="3"/>
        <v>5286713.7690358721</v>
      </c>
      <c r="K4" s="1">
        <v>2611144</v>
      </c>
      <c r="L4" s="1">
        <f t="shared" si="4"/>
        <v>202467.3388</v>
      </c>
    </row>
    <row r="5" spans="1:17" x14ac:dyDescent="0.3">
      <c r="A5" s="1" t="s">
        <v>16</v>
      </c>
      <c r="B5" s="1">
        <v>771725.44</v>
      </c>
      <c r="C5" s="1">
        <v>2.136895</v>
      </c>
      <c r="D5" s="2" t="s">
        <v>72</v>
      </c>
      <c r="E5" s="1">
        <f t="shared" si="0"/>
        <v>1649096.2341087998</v>
      </c>
      <c r="F5" s="1">
        <v>7.9118550000000001</v>
      </c>
      <c r="G5" s="2" t="s">
        <v>73</v>
      </c>
      <c r="H5" s="1">
        <f t="shared" si="1"/>
        <v>6105779.7810911993</v>
      </c>
      <c r="I5" s="1">
        <f t="shared" si="2"/>
        <v>3052889.8905455996</v>
      </c>
      <c r="J5" s="1">
        <f t="shared" si="3"/>
        <v>4701986.1246543992</v>
      </c>
      <c r="K5" s="1">
        <v>2411642</v>
      </c>
      <c r="L5" s="1">
        <f t="shared" si="4"/>
        <v>194970.31999999998</v>
      </c>
    </row>
    <row r="6" spans="1:17" x14ac:dyDescent="0.3">
      <c r="A6" s="1" t="s">
        <v>19</v>
      </c>
      <c r="B6" s="1">
        <v>477887.51999999996</v>
      </c>
      <c r="C6" s="1">
        <v>3.2108750000000001</v>
      </c>
      <c r="D6" s="2" t="s">
        <v>74</v>
      </c>
      <c r="E6" s="1">
        <f t="shared" si="0"/>
        <v>1534437.09078</v>
      </c>
      <c r="F6" s="1">
        <v>7.0175929999999997</v>
      </c>
      <c r="G6" s="2" t="s">
        <v>75</v>
      </c>
      <c r="H6" s="1">
        <f t="shared" si="1"/>
        <v>3353620.1151393596</v>
      </c>
      <c r="I6" s="1">
        <f t="shared" si="2"/>
        <v>1676810.0575696798</v>
      </c>
      <c r="J6" s="1">
        <f t="shared" si="3"/>
        <v>3211247.14834968</v>
      </c>
      <c r="K6" s="1">
        <v>2059860</v>
      </c>
      <c r="L6" s="1">
        <f t="shared" si="4"/>
        <v>155896.37880000001</v>
      </c>
    </row>
    <row r="7" spans="1:17" x14ac:dyDescent="0.3">
      <c r="A7" s="1" t="s">
        <v>22</v>
      </c>
      <c r="B7" s="1">
        <v>414834.64499999996</v>
      </c>
      <c r="C7" s="1">
        <v>3.0411809999999999</v>
      </c>
      <c r="D7" s="2" t="s">
        <v>76</v>
      </c>
      <c r="E7" s="1">
        <f t="shared" si="0"/>
        <v>1261587.2405157448</v>
      </c>
      <c r="F7" s="1">
        <v>6.1693049999999996</v>
      </c>
      <c r="G7" s="2" t="s">
        <v>77</v>
      </c>
      <c r="H7" s="1">
        <f t="shared" si="1"/>
        <v>2559241.4495717245</v>
      </c>
      <c r="I7" s="1">
        <f t="shared" si="2"/>
        <v>1279620.7247858623</v>
      </c>
      <c r="J7" s="1">
        <f t="shared" si="3"/>
        <v>2541207.9653016068</v>
      </c>
      <c r="K7" s="1">
        <v>1811505</v>
      </c>
      <c r="L7" s="1">
        <f t="shared" si="4"/>
        <v>140281.58714999998</v>
      </c>
    </row>
    <row r="8" spans="1:17" x14ac:dyDescent="0.3">
      <c r="A8" s="1" t="s">
        <v>25</v>
      </c>
      <c r="B8" s="1">
        <v>232092.70199999999</v>
      </c>
      <c r="C8" s="1">
        <v>2.6020340000000002</v>
      </c>
      <c r="D8" s="2" t="s">
        <v>78</v>
      </c>
      <c r="E8" s="1">
        <f t="shared" si="0"/>
        <v>603913.10175586806</v>
      </c>
      <c r="F8" s="1">
        <v>5.6865379999999996</v>
      </c>
      <c r="G8" s="2" t="s">
        <v>79</v>
      </c>
      <c r="H8" s="1">
        <f t="shared" si="1"/>
        <v>1319803.9694456758</v>
      </c>
      <c r="I8" s="1">
        <f t="shared" si="2"/>
        <v>659901.98472283792</v>
      </c>
      <c r="J8" s="1">
        <f t="shared" si="3"/>
        <v>1263815.086478706</v>
      </c>
      <c r="K8" s="1">
        <v>955114</v>
      </c>
      <c r="L8" s="1">
        <f t="shared" si="4"/>
        <v>132320.86290000001</v>
      </c>
    </row>
    <row r="9" spans="1:17" x14ac:dyDescent="0.3">
      <c r="A9" s="1" t="s">
        <v>28</v>
      </c>
      <c r="B9" s="1">
        <v>119942.63</v>
      </c>
      <c r="C9" s="1">
        <v>1.9587829999999999</v>
      </c>
      <c r="D9" s="2" t="s">
        <v>80</v>
      </c>
      <c r="E9" s="1">
        <f t="shared" si="0"/>
        <v>234941.58461928999</v>
      </c>
      <c r="F9" s="1">
        <v>5.2505499999999996</v>
      </c>
      <c r="G9" s="2" t="s">
        <v>81</v>
      </c>
      <c r="H9" s="1">
        <f t="shared" si="1"/>
        <v>629764.77594650001</v>
      </c>
      <c r="I9" s="1">
        <f t="shared" si="2"/>
        <v>314882.38797325001</v>
      </c>
      <c r="J9" s="1">
        <f t="shared" si="3"/>
        <v>549823.97259253997</v>
      </c>
      <c r="K9" s="1">
        <v>631277</v>
      </c>
      <c r="L9" s="1">
        <f t="shared" si="4"/>
        <v>87097.101999999999</v>
      </c>
    </row>
    <row r="11" spans="1:17" x14ac:dyDescent="0.3">
      <c r="A11" s="1" t="s">
        <v>1</v>
      </c>
      <c r="B11" s="1" t="s">
        <v>7</v>
      </c>
      <c r="C11" s="1" t="s">
        <v>8</v>
      </c>
      <c r="D11" s="1" t="s">
        <v>206</v>
      </c>
      <c r="E11" s="1" t="s">
        <v>207</v>
      </c>
      <c r="F11" s="1" t="s">
        <v>208</v>
      </c>
      <c r="G11" s="1" t="s">
        <v>209</v>
      </c>
      <c r="H11" s="1" t="s">
        <v>210</v>
      </c>
      <c r="I11" s="1" t="s">
        <v>211</v>
      </c>
      <c r="J11" s="1" t="s">
        <v>212</v>
      </c>
      <c r="K11" s="1" t="s">
        <v>213</v>
      </c>
      <c r="L11" s="1" t="s">
        <v>214</v>
      </c>
      <c r="M11" s="1" t="s">
        <v>215</v>
      </c>
      <c r="N11" s="1" t="s">
        <v>216</v>
      </c>
      <c r="O11" s="1" t="s">
        <v>217</v>
      </c>
    </row>
    <row r="12" spans="1:17" x14ac:dyDescent="0.3">
      <c r="A12" s="1">
        <v>12</v>
      </c>
      <c r="B12" s="1">
        <v>20919.86</v>
      </c>
      <c r="C12" s="1">
        <v>38621.279999999999</v>
      </c>
      <c r="D12" s="2">
        <v>1.332551</v>
      </c>
      <c r="E12" s="1">
        <v>2.101845</v>
      </c>
      <c r="F12" s="1">
        <f>B12*D12</f>
        <v>27876.780362860001</v>
      </c>
      <c r="G12" s="1">
        <f>C12*E12</f>
        <v>81175.944261600001</v>
      </c>
      <c r="H12" s="1">
        <v>1.8939250000000001</v>
      </c>
      <c r="I12" s="1">
        <v>2.6695449999999998</v>
      </c>
      <c r="J12" s="1">
        <f>B12*H12</f>
        <v>39620.645850500005</v>
      </c>
      <c r="K12" s="1">
        <f>C12*I12</f>
        <v>103101.24491759999</v>
      </c>
      <c r="L12" s="1">
        <f>J12*0.5</f>
        <v>19810.322925250002</v>
      </c>
      <c r="M12" s="1">
        <f>K12*0.5</f>
        <v>51550.622458799997</v>
      </c>
      <c r="N12" s="1">
        <f>F12+L12</f>
        <v>47687.103288110004</v>
      </c>
      <c r="O12" s="1">
        <f>G12+M12</f>
        <v>132726.56672040001</v>
      </c>
      <c r="P12" s="1">
        <f>N12/K2*100000</f>
        <v>12668.185299897457</v>
      </c>
      <c r="Q12" s="1">
        <f>O12/K2*100000</f>
        <v>35259.108343711479</v>
      </c>
    </row>
    <row r="13" spans="1:17" x14ac:dyDescent="0.3">
      <c r="A13" s="1" t="s">
        <v>10</v>
      </c>
      <c r="B13" s="1">
        <v>650335.79200000002</v>
      </c>
      <c r="C13" s="1">
        <v>1087781.392</v>
      </c>
      <c r="D13" s="2">
        <v>1.583162</v>
      </c>
      <c r="E13" s="1">
        <v>3.4337749999999998</v>
      </c>
      <c r="F13" s="1">
        <f t="shared" ref="F13:F19" si="5">B13*D13</f>
        <v>1029586.913134304</v>
      </c>
      <c r="G13" s="1">
        <f t="shared" ref="G13:G19" si="6">C13*E13</f>
        <v>3735196.5493147997</v>
      </c>
      <c r="H13" s="1">
        <v>7.9730639999999999</v>
      </c>
      <c r="I13" s="1">
        <v>9.4324849999999998</v>
      </c>
      <c r="J13" s="1">
        <f t="shared" ref="J13:J19" si="7">B13*H13</f>
        <v>5185168.8911066884</v>
      </c>
      <c r="K13" s="1">
        <f t="shared" ref="K13:K19" si="8">C13*I13</f>
        <v>10260481.66331912</v>
      </c>
      <c r="L13" s="1">
        <f t="shared" ref="L13:L19" si="9">J13*0.5</f>
        <v>2592584.4455533442</v>
      </c>
      <c r="M13" s="1">
        <f t="shared" ref="M13:M19" si="10">K13*0.5</f>
        <v>5130240.8316595601</v>
      </c>
      <c r="N13" s="1">
        <f t="shared" ref="N13:N19" si="11">F13+L13</f>
        <v>3622171.3586876481</v>
      </c>
      <c r="O13" s="1">
        <f t="shared" ref="O13:O19" si="12">G13+M13</f>
        <v>8865437.3809743598</v>
      </c>
      <c r="P13" s="1">
        <f t="shared" ref="P13:P19" si="13">N13/K3*100000</f>
        <v>124204.17619999999</v>
      </c>
      <c r="Q13" s="1">
        <f t="shared" ref="Q13:Q19" si="14">O13/K3*100000</f>
        <v>303995.65274999995</v>
      </c>
    </row>
    <row r="14" spans="1:17" x14ac:dyDescent="0.3">
      <c r="A14" s="1" t="s">
        <v>13</v>
      </c>
      <c r="B14" s="1">
        <v>616229.98400000005</v>
      </c>
      <c r="C14" s="1">
        <v>960900.99199999985</v>
      </c>
      <c r="D14" s="2">
        <v>1.8295840000000001</v>
      </c>
      <c r="E14" s="1">
        <v>2.8109579999999998</v>
      </c>
      <c r="F14" s="1">
        <f t="shared" si="5"/>
        <v>1127444.5190466561</v>
      </c>
      <c r="G14" s="1">
        <f t="shared" si="6"/>
        <v>2701052.3306703353</v>
      </c>
      <c r="H14" s="1">
        <v>8.3187309999999997</v>
      </c>
      <c r="I14" s="1">
        <v>9.5770090000000003</v>
      </c>
      <c r="J14" s="1">
        <f>B14*H14</f>
        <v>5126251.4710303042</v>
      </c>
      <c r="K14" s="1">
        <f t="shared" si="8"/>
        <v>9202557.4484929275</v>
      </c>
      <c r="L14" s="1">
        <f t="shared" si="9"/>
        <v>2563125.7355151521</v>
      </c>
      <c r="M14" s="1">
        <f t="shared" si="10"/>
        <v>4601278.7242464637</v>
      </c>
      <c r="N14" s="1">
        <f t="shared" si="11"/>
        <v>3690570.254561808</v>
      </c>
      <c r="O14" s="1">
        <f t="shared" si="12"/>
        <v>7302331.0549167991</v>
      </c>
      <c r="P14" s="1">
        <f t="shared" si="13"/>
        <v>141339.20819999999</v>
      </c>
      <c r="Q14" s="1">
        <f t="shared" si="14"/>
        <v>279660.21999999997</v>
      </c>
    </row>
    <row r="15" spans="1:17" x14ac:dyDescent="0.3">
      <c r="A15" s="1" t="s">
        <v>16</v>
      </c>
      <c r="B15" s="1">
        <v>610145.42599999998</v>
      </c>
      <c r="C15" s="1">
        <v>955010.23199999996</v>
      </c>
      <c r="D15" s="2">
        <v>1.738243</v>
      </c>
      <c r="E15" s="1">
        <v>2.5355470000000002</v>
      </c>
      <c r="F15" s="1">
        <f t="shared" si="5"/>
        <v>1060581.0157265179</v>
      </c>
      <c r="G15" s="1">
        <f t="shared" si="6"/>
        <v>2421473.3287169039</v>
      </c>
      <c r="H15" s="1">
        <v>7.1002679999999998</v>
      </c>
      <c r="I15" s="1">
        <v>8.7234409999999993</v>
      </c>
      <c r="J15" s="1">
        <f t="shared" si="7"/>
        <v>4332196.0435741674</v>
      </c>
      <c r="K15" s="1">
        <f t="shared" si="8"/>
        <v>8330975.4132483108</v>
      </c>
      <c r="L15" s="1">
        <f t="shared" si="9"/>
        <v>2166098.0217870837</v>
      </c>
      <c r="M15" s="1">
        <f t="shared" si="10"/>
        <v>4165487.7066241554</v>
      </c>
      <c r="N15" s="1">
        <f t="shared" si="11"/>
        <v>3226679.0375136016</v>
      </c>
      <c r="O15" s="1">
        <f t="shared" si="12"/>
        <v>6586961.0353410598</v>
      </c>
      <c r="P15" s="1">
        <f t="shared" si="13"/>
        <v>133795.9381</v>
      </c>
      <c r="Q15" s="1">
        <f t="shared" si="14"/>
        <v>273131.79300000001</v>
      </c>
    </row>
    <row r="16" spans="1:17" x14ac:dyDescent="0.3">
      <c r="A16" s="1" t="s">
        <v>19</v>
      </c>
      <c r="B16" s="1">
        <v>366655.08</v>
      </c>
      <c r="C16" s="1">
        <v>609718.55999999994</v>
      </c>
      <c r="D16" s="2">
        <v>1.7080660000000001</v>
      </c>
      <c r="E16" s="1">
        <v>4.7136839999999998</v>
      </c>
      <c r="F16" s="1">
        <f t="shared" si="5"/>
        <v>626271.07587528008</v>
      </c>
      <c r="G16" s="1">
        <f t="shared" si="6"/>
        <v>2874020.6207750398</v>
      </c>
      <c r="H16" s="1">
        <v>6.3495239999999997</v>
      </c>
      <c r="I16" s="1">
        <v>7.6856629999999999</v>
      </c>
      <c r="J16" s="1">
        <f t="shared" si="7"/>
        <v>2328085.2301819199</v>
      </c>
      <c r="K16" s="1">
        <f t="shared" si="8"/>
        <v>4686091.3770052791</v>
      </c>
      <c r="L16" s="1">
        <f t="shared" si="9"/>
        <v>1164042.6150909599</v>
      </c>
      <c r="M16" s="1">
        <f t="shared" si="10"/>
        <v>2343045.6885026395</v>
      </c>
      <c r="N16" s="1">
        <f t="shared" si="11"/>
        <v>1790313.6909662401</v>
      </c>
      <c r="O16" s="1">
        <f t="shared" si="12"/>
        <v>5217066.3092776798</v>
      </c>
      <c r="P16" s="1">
        <f t="shared" si="13"/>
        <v>86914.338400000008</v>
      </c>
      <c r="Q16" s="1">
        <f t="shared" si="14"/>
        <v>253272.85879999999</v>
      </c>
    </row>
    <row r="17" spans="1:17" x14ac:dyDescent="0.3">
      <c r="A17" s="1" t="s">
        <v>22</v>
      </c>
      <c r="B17" s="1">
        <v>324259.39499999996</v>
      </c>
      <c r="C17" s="1">
        <v>521713.44</v>
      </c>
      <c r="D17" s="2">
        <v>2.2086100000000002</v>
      </c>
      <c r="E17" s="1">
        <v>3.8737520000000001</v>
      </c>
      <c r="F17" s="1">
        <f t="shared" si="5"/>
        <v>716162.54239095002</v>
      </c>
      <c r="G17" s="1">
        <f t="shared" si="6"/>
        <v>2020988.4816268801</v>
      </c>
      <c r="H17" s="1">
        <v>5.5066100000000002</v>
      </c>
      <c r="I17" s="1">
        <v>6.8319999999999999</v>
      </c>
      <c r="J17" s="1">
        <f t="shared" si="7"/>
        <v>1785570.0271009498</v>
      </c>
      <c r="K17" s="1">
        <f t="shared" si="8"/>
        <v>3564346.2220799997</v>
      </c>
      <c r="L17" s="1">
        <f t="shared" si="9"/>
        <v>892785.01355047489</v>
      </c>
      <c r="M17" s="1">
        <f t="shared" si="10"/>
        <v>1782173.1110399999</v>
      </c>
      <c r="N17" s="1">
        <f t="shared" si="11"/>
        <v>1608947.5559414248</v>
      </c>
      <c r="O17" s="1">
        <f t="shared" si="12"/>
        <v>3803161.5926668802</v>
      </c>
      <c r="P17" s="1">
        <f t="shared" si="13"/>
        <v>88818.278499999986</v>
      </c>
      <c r="Q17" s="1">
        <f t="shared" si="14"/>
        <v>209944.85760000005</v>
      </c>
    </row>
    <row r="18" spans="1:17" x14ac:dyDescent="0.3">
      <c r="A18" s="1" t="s">
        <v>25</v>
      </c>
      <c r="B18" s="1">
        <v>160459.152</v>
      </c>
      <c r="C18" s="1">
        <v>322828.53199999995</v>
      </c>
      <c r="D18" s="2">
        <v>1.758108</v>
      </c>
      <c r="E18" s="1">
        <v>3.4459599999999999</v>
      </c>
      <c r="F18" s="1">
        <f t="shared" si="5"/>
        <v>282104.518804416</v>
      </c>
      <c r="G18" s="1">
        <f t="shared" si="6"/>
        <v>1112454.2081307198</v>
      </c>
      <c r="H18" s="1">
        <v>4.7355559999999999</v>
      </c>
      <c r="I18" s="1">
        <v>6.6375200000000003</v>
      </c>
      <c r="J18" s="1">
        <f t="shared" si="7"/>
        <v>759863.30000851199</v>
      </c>
      <c r="K18" s="1">
        <f t="shared" si="8"/>
        <v>2142780.8377206395</v>
      </c>
      <c r="L18" s="1">
        <f t="shared" si="9"/>
        <v>379931.65000425599</v>
      </c>
      <c r="M18" s="1">
        <f t="shared" si="10"/>
        <v>1071390.4188603198</v>
      </c>
      <c r="N18" s="1">
        <f t="shared" si="11"/>
        <v>662036.168808672</v>
      </c>
      <c r="O18" s="1">
        <f t="shared" si="12"/>
        <v>2183844.6269910396</v>
      </c>
      <c r="P18" s="1">
        <f t="shared" si="13"/>
        <v>69314.8848</v>
      </c>
      <c r="Q18" s="1">
        <f t="shared" si="14"/>
        <v>228647.53599999993</v>
      </c>
    </row>
    <row r="19" spans="1:17" x14ac:dyDescent="0.3">
      <c r="A19" s="1" t="s">
        <v>28</v>
      </c>
      <c r="B19" s="1">
        <v>73859.409</v>
      </c>
      <c r="C19" s="1">
        <v>184964.16100000002</v>
      </c>
      <c r="D19" s="2">
        <v>1.4241159999999999</v>
      </c>
      <c r="E19" s="1">
        <v>2.4934500000000002</v>
      </c>
      <c r="F19" s="1">
        <f t="shared" si="5"/>
        <v>105184.36610744399</v>
      </c>
      <c r="G19" s="1">
        <f t="shared" si="6"/>
        <v>461198.88724545011</v>
      </c>
      <c r="H19" s="1">
        <v>4.0441570000000002</v>
      </c>
      <c r="I19" s="1">
        <v>6.4569429999999999</v>
      </c>
      <c r="J19" s="1">
        <f t="shared" si="7"/>
        <v>298699.04592321301</v>
      </c>
      <c r="K19" s="1">
        <f t="shared" si="8"/>
        <v>1194303.0446198231</v>
      </c>
      <c r="L19" s="1">
        <f t="shared" si="9"/>
        <v>149349.5229616065</v>
      </c>
      <c r="M19" s="1">
        <f t="shared" si="10"/>
        <v>597151.52230991155</v>
      </c>
      <c r="N19" s="1">
        <f t="shared" si="11"/>
        <v>254533.88906905049</v>
      </c>
      <c r="O19" s="1">
        <f t="shared" si="12"/>
        <v>1058350.4095553616</v>
      </c>
      <c r="P19" s="1">
        <f t="shared" si="13"/>
        <v>40320.47565</v>
      </c>
      <c r="Q19" s="1">
        <f t="shared" si="14"/>
        <v>167652.29995000002</v>
      </c>
    </row>
    <row r="27" spans="1:17" x14ac:dyDescent="0.3">
      <c r="K27" s="6" t="s">
        <v>162</v>
      </c>
    </row>
    <row r="29" spans="1:17" x14ac:dyDescent="0.3">
      <c r="K29" s="1" t="s">
        <v>216</v>
      </c>
      <c r="L29" s="1" t="s">
        <v>217</v>
      </c>
      <c r="M29" s="1" t="s">
        <v>88</v>
      </c>
      <c r="N29" s="1" t="s">
        <v>218</v>
      </c>
      <c r="O29" s="1" t="s">
        <v>219</v>
      </c>
      <c r="P29" s="1" t="s">
        <v>220</v>
      </c>
      <c r="Q29" s="1" t="s">
        <v>221</v>
      </c>
    </row>
    <row r="30" spans="1:17" x14ac:dyDescent="0.3">
      <c r="K30" s="1">
        <v>47687.103288110004</v>
      </c>
      <c r="L30" s="1">
        <v>132726.56672040001</v>
      </c>
      <c r="M30" s="1">
        <v>402305</v>
      </c>
      <c r="N30" s="1">
        <f>K30*0.412*365.24/8765.82*0.01</f>
        <v>8.1862300312339418</v>
      </c>
      <c r="O30" s="1">
        <f>L30*0.412*365.24/8765.82*0.01</f>
        <v>22.784571330840773</v>
      </c>
      <c r="P30" s="1">
        <f>N30/M30*100000</f>
        <v>2.0348317896207955</v>
      </c>
      <c r="Q30" s="1">
        <f>O30/M30*100000</f>
        <v>5.66350687434677</v>
      </c>
    </row>
    <row r="31" spans="1:17" x14ac:dyDescent="0.3">
      <c r="K31" s="1">
        <v>3622171.3586876481</v>
      </c>
      <c r="L31" s="1">
        <v>8865437.3809743598</v>
      </c>
      <c r="M31" s="1">
        <v>2916304</v>
      </c>
      <c r="N31" s="1">
        <f t="shared" ref="N31:N37" si="15">K31*0.412*365.24/8765.82*0.01</f>
        <v>621.80182712329884</v>
      </c>
      <c r="O31" s="1">
        <f t="shared" ref="O31:O37" si="16">L31*0.412*365.24/8765.82*0.01</f>
        <v>1521.8896666816738</v>
      </c>
      <c r="P31" s="1">
        <f t="shared" ref="P31:P37" si="17">N31/M31*100000</f>
        <v>21.32157097213798</v>
      </c>
      <c r="Q31" s="1">
        <f t="shared" ref="Q31:Q37" si="18">O31/M31*100000</f>
        <v>52.185563188257255</v>
      </c>
    </row>
    <row r="32" spans="1:17" x14ac:dyDescent="0.3">
      <c r="K32" s="1">
        <v>3690570.254561808</v>
      </c>
      <c r="L32" s="1">
        <v>7302331.0549167991</v>
      </c>
      <c r="M32" s="1">
        <v>2611144</v>
      </c>
      <c r="N32" s="1">
        <f t="shared" si="15"/>
        <v>633.5435572117334</v>
      </c>
      <c r="O32" s="1">
        <f t="shared" si="16"/>
        <v>1253.558250720524</v>
      </c>
      <c r="P32" s="1">
        <f t="shared" si="17"/>
        <v>24.263064664826352</v>
      </c>
      <c r="Q32" s="1">
        <f t="shared" si="18"/>
        <v>48.008009160755748</v>
      </c>
    </row>
    <row r="33" spans="11:21" x14ac:dyDescent="0.3">
      <c r="K33" s="1">
        <v>3226679.0375136016</v>
      </c>
      <c r="L33" s="1">
        <v>6586961.0353410598</v>
      </c>
      <c r="M33" s="1">
        <v>2411642</v>
      </c>
      <c r="N33" s="1">
        <f t="shared" si="15"/>
        <v>553.90944336585142</v>
      </c>
      <c r="O33" s="1">
        <f t="shared" si="16"/>
        <v>1130.7539045996416</v>
      </c>
      <c r="P33" s="1">
        <f t="shared" si="17"/>
        <v>22.968145494474363</v>
      </c>
      <c r="Q33" s="1">
        <f t="shared" si="18"/>
        <v>46.887303530111083</v>
      </c>
    </row>
    <row r="34" spans="11:21" x14ac:dyDescent="0.3">
      <c r="K34" s="1">
        <v>1790313.6909662401</v>
      </c>
      <c r="L34" s="1">
        <v>5217066.3092776798</v>
      </c>
      <c r="M34" s="1">
        <v>2059860</v>
      </c>
      <c r="N34" s="1">
        <f t="shared" si="15"/>
        <v>307.33507996429989</v>
      </c>
      <c r="O34" s="1">
        <f t="shared" si="16"/>
        <v>895.59025294363664</v>
      </c>
      <c r="P34" s="1">
        <f t="shared" si="17"/>
        <v>14.920192632717752</v>
      </c>
      <c r="Q34" s="1">
        <f t="shared" si="18"/>
        <v>43.478209827057988</v>
      </c>
    </row>
    <row r="35" spans="11:21" x14ac:dyDescent="0.3">
      <c r="K35" s="1">
        <v>1608947.5559414248</v>
      </c>
      <c r="L35" s="1">
        <v>3803161.5926668802</v>
      </c>
      <c r="M35" s="1">
        <v>1811505</v>
      </c>
      <c r="N35" s="1">
        <f t="shared" si="15"/>
        <v>276.20077322692339</v>
      </c>
      <c r="O35" s="1">
        <f t="shared" si="16"/>
        <v>652.87160462287443</v>
      </c>
      <c r="P35" s="1">
        <f t="shared" si="17"/>
        <v>15.247033446053054</v>
      </c>
      <c r="Q35" s="1">
        <f t="shared" si="18"/>
        <v>36.040287198924339</v>
      </c>
    </row>
    <row r="36" spans="11:21" x14ac:dyDescent="0.3">
      <c r="K36" s="1">
        <v>662036.168808672</v>
      </c>
      <c r="L36" s="1">
        <v>2183844.6269910396</v>
      </c>
      <c r="M36" s="1">
        <v>955114</v>
      </c>
      <c r="N36" s="1">
        <f t="shared" si="15"/>
        <v>113.64876440745975</v>
      </c>
      <c r="O36" s="1">
        <f t="shared" si="16"/>
        <v>374.89076157579029</v>
      </c>
      <c r="P36" s="1">
        <f t="shared" si="17"/>
        <v>11.898973777733314</v>
      </c>
      <c r="Q36" s="1">
        <f t="shared" si="18"/>
        <v>39.250891681599292</v>
      </c>
    </row>
    <row r="37" spans="11:21" x14ac:dyDescent="0.3">
      <c r="K37" s="1">
        <v>254533.88906905049</v>
      </c>
      <c r="L37" s="1">
        <v>1058350.4095553616</v>
      </c>
      <c r="M37" s="1">
        <v>631277</v>
      </c>
      <c r="N37" s="1">
        <f t="shared" si="15"/>
        <v>43.694685208177852</v>
      </c>
      <c r="O37" s="1">
        <f t="shared" si="16"/>
        <v>181.68224339244031</v>
      </c>
      <c r="P37" s="1">
        <f t="shared" si="17"/>
        <v>6.9216342759482519</v>
      </c>
      <c r="Q37" s="1">
        <f t="shared" si="18"/>
        <v>28.780114496875431</v>
      </c>
    </row>
    <row r="40" spans="11:21" x14ac:dyDescent="0.3">
      <c r="K40" s="6" t="s">
        <v>163</v>
      </c>
    </row>
    <row r="41" spans="11:21" x14ac:dyDescent="0.3">
      <c r="K41" s="6" t="s">
        <v>164</v>
      </c>
    </row>
    <row r="43" spans="11:21" x14ac:dyDescent="0.3">
      <c r="K43" s="1" t="s">
        <v>216</v>
      </c>
      <c r="L43" s="1" t="s">
        <v>217</v>
      </c>
      <c r="M43" s="1" t="s">
        <v>88</v>
      </c>
      <c r="N43" s="1" t="s">
        <v>222</v>
      </c>
      <c r="O43" s="1" t="s">
        <v>223</v>
      </c>
      <c r="P43" s="1" t="s">
        <v>224</v>
      </c>
      <c r="Q43" s="1" t="s">
        <v>225</v>
      </c>
      <c r="R43" s="1" t="s">
        <v>226</v>
      </c>
      <c r="S43" s="1" t="s">
        <v>227</v>
      </c>
      <c r="T43" s="1" t="s">
        <v>228</v>
      </c>
      <c r="U43" s="1" t="s">
        <v>229</v>
      </c>
    </row>
    <row r="44" spans="11:21" x14ac:dyDescent="0.3">
      <c r="K44" s="1">
        <v>47687.103288110004</v>
      </c>
      <c r="L44" s="1">
        <v>132726.56672040001</v>
      </c>
      <c r="M44" s="1">
        <v>402305</v>
      </c>
      <c r="N44" s="1">
        <f>K44*0.189*55.2/365.24*0.01</f>
        <v>13.621454692371977</v>
      </c>
      <c r="O44" s="1">
        <f>L44*0.189*55.2/365.24*0.01</f>
        <v>37.912324095953053</v>
      </c>
      <c r="P44" s="1">
        <f>K44*0.189*310.04/8765.82*0.01</f>
        <v>3.187776952015013</v>
      </c>
      <c r="Q44" s="1">
        <f>L44*0.189*310.04/8765.82*0.01</f>
        <v>8.872476228114019</v>
      </c>
      <c r="R44" s="1">
        <f>N44+P44</f>
        <v>16.80923164438699</v>
      </c>
      <c r="S44" s="1">
        <f>O44+Q44</f>
        <v>46.784800324067071</v>
      </c>
      <c r="T44" s="1">
        <f>R44/M44*100000</f>
        <v>4.1782308557902565</v>
      </c>
      <c r="U44" s="1">
        <f>S44/M44*100000</f>
        <v>11.629186891554188</v>
      </c>
    </row>
    <row r="45" spans="11:21" x14ac:dyDescent="0.3">
      <c r="K45" s="1">
        <v>3622171.3586876481</v>
      </c>
      <c r="L45" s="1">
        <v>8865437.3809743598</v>
      </c>
      <c r="M45" s="1">
        <v>2916304</v>
      </c>
      <c r="N45" s="1">
        <f t="shared" ref="N45:N51" si="19">K45*0.189*55.2/365.24*0.01</f>
        <v>1034.6454208442804</v>
      </c>
      <c r="O45" s="1">
        <f t="shared" ref="O45:O51" si="20">L45*0.189*55.2/365.24*0.01</f>
        <v>2532.3440780919204</v>
      </c>
      <c r="P45" s="1">
        <f t="shared" ref="P45:P51" si="21">K45*0.189*310.04/8765.82*0.01</f>
        <v>242.13411126509669</v>
      </c>
      <c r="Q45" s="1">
        <f t="shared" ref="Q45:Q51" si="22">L45*0.189*310.04/8765.82*0.01</f>
        <v>592.63480068936849</v>
      </c>
      <c r="R45" s="1">
        <f t="shared" ref="R45:R51" si="23">N45+P45</f>
        <v>1276.779532109377</v>
      </c>
      <c r="S45" s="1">
        <f t="shared" ref="S45:S51" si="24">O45+Q45</f>
        <v>3124.978878781289</v>
      </c>
      <c r="T45" s="1">
        <f t="shared" ref="T45:T51" si="25">R45/M45*100000</f>
        <v>43.780742066306431</v>
      </c>
      <c r="U45" s="1">
        <f t="shared" ref="U45:U51" si="26">S45/M45*100000</f>
        <v>107.15545700246919</v>
      </c>
    </row>
    <row r="46" spans="11:21" x14ac:dyDescent="0.3">
      <c r="K46" s="1">
        <v>3690570.254561808</v>
      </c>
      <c r="L46" s="1">
        <v>7302331.0549167991</v>
      </c>
      <c r="M46" s="1">
        <v>2611144</v>
      </c>
      <c r="N46" s="1">
        <f t="shared" si="19"/>
        <v>1054.1830399680327</v>
      </c>
      <c r="O46" s="1">
        <f t="shared" si="20"/>
        <v>2085.8547648049498</v>
      </c>
      <c r="P46" s="1">
        <f t="shared" si="21"/>
        <v>246.70642555505455</v>
      </c>
      <c r="Q46" s="1">
        <f t="shared" si="22"/>
        <v>488.14461411522302</v>
      </c>
      <c r="R46" s="1">
        <f t="shared" si="23"/>
        <v>1300.8894655230872</v>
      </c>
      <c r="S46" s="1">
        <f t="shared" si="24"/>
        <v>2573.9993789201726</v>
      </c>
      <c r="T46" s="1">
        <f t="shared" si="25"/>
        <v>49.820671151153945</v>
      </c>
      <c r="U46" s="1">
        <f t="shared" si="26"/>
        <v>98.577457961727603</v>
      </c>
    </row>
    <row r="47" spans="11:21" x14ac:dyDescent="0.3">
      <c r="K47" s="1">
        <v>3226679.0375136016</v>
      </c>
      <c r="L47" s="1">
        <v>6586961.0353410598</v>
      </c>
      <c r="M47" s="1">
        <v>2411642</v>
      </c>
      <c r="N47" s="1">
        <f t="shared" si="19"/>
        <v>921.67607771799101</v>
      </c>
      <c r="O47" s="1">
        <f t="shared" si="20"/>
        <v>1881.5148146289073</v>
      </c>
      <c r="P47" s="1">
        <f t="shared" si="21"/>
        <v>215.69632789795543</v>
      </c>
      <c r="Q47" s="1">
        <f t="shared" si="22"/>
        <v>440.32371698946582</v>
      </c>
      <c r="R47" s="1">
        <f t="shared" si="23"/>
        <v>1137.3724056159465</v>
      </c>
      <c r="S47" s="1">
        <f t="shared" si="24"/>
        <v>2321.8385316183731</v>
      </c>
      <c r="T47" s="1">
        <f t="shared" si="25"/>
        <v>47.16174314495877</v>
      </c>
      <c r="U47" s="1">
        <f t="shared" si="26"/>
        <v>96.276252097880743</v>
      </c>
    </row>
    <row r="48" spans="11:21" x14ac:dyDescent="0.3">
      <c r="K48" s="1">
        <v>1790313.6909662401</v>
      </c>
      <c r="L48" s="1">
        <v>5217066.3092776798</v>
      </c>
      <c r="M48" s="1">
        <v>2059860</v>
      </c>
      <c r="N48" s="1">
        <f t="shared" si="19"/>
        <v>511.38935152536936</v>
      </c>
      <c r="O48" s="1">
        <f t="shared" si="20"/>
        <v>1490.21491050904</v>
      </c>
      <c r="P48" s="1">
        <f t="shared" si="21"/>
        <v>119.67849433962336</v>
      </c>
      <c r="Q48" s="1">
        <f t="shared" si="22"/>
        <v>348.7492967935429</v>
      </c>
      <c r="R48" s="1">
        <f t="shared" si="23"/>
        <v>631.06784586499271</v>
      </c>
      <c r="S48" s="1">
        <f t="shared" si="24"/>
        <v>1838.964207302583</v>
      </c>
      <c r="T48" s="1">
        <f t="shared" si="25"/>
        <v>30.636443538152726</v>
      </c>
      <c r="U48" s="1">
        <f t="shared" si="26"/>
        <v>89.276174463438437</v>
      </c>
    </row>
    <row r="49" spans="11:21" x14ac:dyDescent="0.3">
      <c r="K49" s="1">
        <v>1608947.5559414248</v>
      </c>
      <c r="L49" s="1">
        <v>3803161.5926668802</v>
      </c>
      <c r="M49" s="1">
        <v>1811505</v>
      </c>
      <c r="N49" s="1">
        <f t="shared" si="19"/>
        <v>459.58350842256317</v>
      </c>
      <c r="O49" s="1">
        <f t="shared" si="20"/>
        <v>1086.3438907013206</v>
      </c>
      <c r="P49" s="1">
        <f t="shared" si="21"/>
        <v>107.55457098837418</v>
      </c>
      <c r="Q49" s="1">
        <f t="shared" si="22"/>
        <v>254.232906466244</v>
      </c>
      <c r="R49" s="1">
        <f t="shared" si="23"/>
        <v>567.13807941093739</v>
      </c>
      <c r="S49" s="1">
        <f t="shared" si="24"/>
        <v>1340.5767971675646</v>
      </c>
      <c r="T49" s="1">
        <f t="shared" si="25"/>
        <v>31.307563567913828</v>
      </c>
      <c r="U49" s="1">
        <f t="shared" si="26"/>
        <v>74.003483135159144</v>
      </c>
    </row>
    <row r="50" spans="11:21" x14ac:dyDescent="0.3">
      <c r="K50" s="1">
        <v>662036.168808672</v>
      </c>
      <c r="L50" s="1">
        <v>2183844.6269910396</v>
      </c>
      <c r="M50" s="1">
        <v>955114</v>
      </c>
      <c r="N50" s="1">
        <f t="shared" si="19"/>
        <v>189.10554544811941</v>
      </c>
      <c r="O50" s="1">
        <f t="shared" si="20"/>
        <v>623.79844005235248</v>
      </c>
      <c r="P50" s="1">
        <f t="shared" si="21"/>
        <v>44.255647644985054</v>
      </c>
      <c r="Q50" s="1">
        <f t="shared" si="22"/>
        <v>145.98516346535189</v>
      </c>
      <c r="R50" s="1">
        <f t="shared" si="23"/>
        <v>233.36119309310448</v>
      </c>
      <c r="S50" s="1">
        <f t="shared" si="24"/>
        <v>769.78360351770436</v>
      </c>
      <c r="T50" s="1">
        <f t="shared" si="25"/>
        <v>24.432810438660145</v>
      </c>
      <c r="U50" s="1">
        <f t="shared" si="26"/>
        <v>80.595992050970295</v>
      </c>
    </row>
    <row r="51" spans="11:21" x14ac:dyDescent="0.3">
      <c r="K51" s="1">
        <v>254533.88906905049</v>
      </c>
      <c r="L51" s="1">
        <v>1058350.4095553616</v>
      </c>
      <c r="M51" s="1">
        <v>631277</v>
      </c>
      <c r="N51" s="1">
        <f t="shared" si="19"/>
        <v>72.705649925517193</v>
      </c>
      <c r="O51" s="1">
        <f t="shared" si="20"/>
        <v>302.30966358583879</v>
      </c>
      <c r="P51" s="1">
        <f t="shared" si="21"/>
        <v>17.015025219268743</v>
      </c>
      <c r="Q51" s="1">
        <f t="shared" si="22"/>
        <v>70.74837451025104</v>
      </c>
      <c r="R51" s="1">
        <f t="shared" si="23"/>
        <v>89.720675144785929</v>
      </c>
      <c r="S51" s="1">
        <f t="shared" si="24"/>
        <v>373.05803809608983</v>
      </c>
      <c r="T51" s="1">
        <f t="shared" si="25"/>
        <v>14.21256835664628</v>
      </c>
      <c r="U51" s="1">
        <f t="shared" si="26"/>
        <v>59.095775403838545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0AE55-CE3D-4F5F-9882-491E9DC76315}">
  <dimension ref="A1:N49"/>
  <sheetViews>
    <sheetView topLeftCell="B1" zoomScale="83" workbookViewId="0">
      <selection activeCell="N9" sqref="N9"/>
    </sheetView>
  </sheetViews>
  <sheetFormatPr defaultRowHeight="13.8" x14ac:dyDescent="0.3"/>
  <cols>
    <col min="1" max="1" width="11.44140625" style="1" customWidth="1"/>
    <col min="2" max="2" width="23.77734375" style="1" bestFit="1" customWidth="1"/>
    <col min="3" max="3" width="19.77734375" style="1" customWidth="1"/>
    <col min="4" max="4" width="21.109375" style="1" bestFit="1" customWidth="1"/>
    <col min="5" max="5" width="15.44140625" style="1" bestFit="1" customWidth="1"/>
    <col min="6" max="7" width="8.88671875" style="1"/>
    <col min="8" max="8" width="9.77734375" style="1" bestFit="1" customWidth="1"/>
    <col min="9" max="9" width="23.77734375" style="1" customWidth="1"/>
    <col min="10" max="10" width="31.21875" style="1" customWidth="1"/>
    <col min="11" max="11" width="29.77734375" style="1" customWidth="1"/>
    <col min="12" max="12" width="16.5546875" style="1" customWidth="1"/>
    <col min="13" max="13" width="21.109375" style="1" bestFit="1" customWidth="1"/>
    <col min="14" max="14" width="15.44140625" style="1" bestFit="1" customWidth="1"/>
    <col min="15" max="16384" width="8.88671875" style="1"/>
  </cols>
  <sheetData>
    <row r="1" spans="1:14" x14ac:dyDescent="0.3">
      <c r="A1" s="6" t="s">
        <v>82</v>
      </c>
      <c r="D1" s="1" t="s">
        <v>161</v>
      </c>
    </row>
    <row r="2" spans="1:14" x14ac:dyDescent="0.3">
      <c r="A2" s="6" t="s">
        <v>83</v>
      </c>
    </row>
    <row r="3" spans="1:14" x14ac:dyDescent="0.3">
      <c r="A3" s="6"/>
    </row>
    <row r="4" spans="1:14" x14ac:dyDescent="0.3">
      <c r="B4" s="1" t="s">
        <v>84</v>
      </c>
      <c r="E4" s="1" t="s">
        <v>85</v>
      </c>
      <c r="J4" s="1" t="s">
        <v>86</v>
      </c>
    </row>
    <row r="5" spans="1:14" x14ac:dyDescent="0.3">
      <c r="B5" s="6" t="s">
        <v>162</v>
      </c>
      <c r="I5" s="6" t="s">
        <v>163</v>
      </c>
      <c r="K5" s="7">
        <f>365.24-55.2</f>
        <v>310.04000000000002</v>
      </c>
    </row>
    <row r="6" spans="1:14" x14ac:dyDescent="0.3">
      <c r="I6" s="6" t="s">
        <v>164</v>
      </c>
    </row>
    <row r="8" spans="1:14" x14ac:dyDescent="0.3">
      <c r="A8" s="1" t="s">
        <v>1</v>
      </c>
      <c r="B8" s="1" t="s">
        <v>87</v>
      </c>
      <c r="C8" s="1" t="s">
        <v>84</v>
      </c>
      <c r="D8" s="1" t="s">
        <v>88</v>
      </c>
      <c r="E8" s="1" t="s">
        <v>89</v>
      </c>
      <c r="H8" s="1" t="s">
        <v>1</v>
      </c>
      <c r="I8" s="1" t="s">
        <v>87</v>
      </c>
      <c r="J8" s="1" t="s">
        <v>90</v>
      </c>
      <c r="K8" s="1" t="s">
        <v>91</v>
      </c>
      <c r="L8" s="1" t="s">
        <v>92</v>
      </c>
      <c r="M8" s="1" t="s">
        <v>88</v>
      </c>
      <c r="N8" s="1" t="s">
        <v>89</v>
      </c>
    </row>
    <row r="9" spans="1:14" ht="14.4" x14ac:dyDescent="0.3">
      <c r="A9" s="1">
        <v>12</v>
      </c>
      <c r="B9" s="1">
        <v>76386.579173015984</v>
      </c>
      <c r="C9" s="1">
        <f>B9*0.412*365.24/8765.82*0.01</f>
        <v>13.112939669063215</v>
      </c>
      <c r="D9">
        <v>376432</v>
      </c>
      <c r="E9" s="1">
        <f>C9/D9*100000</f>
        <v>3.4834816564647042</v>
      </c>
      <c r="H9" s="1">
        <v>14</v>
      </c>
      <c r="I9" s="1">
        <v>76386.579173015984</v>
      </c>
      <c r="J9" s="1">
        <f>I9*0.189*55.2/365.24*0.01</f>
        <v>21.819239491738067</v>
      </c>
      <c r="K9" s="1">
        <f>I9*0.189*310.04/8765.82*0.01</f>
        <v>5.1062731795605592</v>
      </c>
      <c r="L9" s="1">
        <f>J9+K9</f>
        <v>26.925512671298627</v>
      </c>
      <c r="M9">
        <v>376432</v>
      </c>
      <c r="N9" s="1">
        <f>L9/M9*100000</f>
        <v>7.1528224676166285</v>
      </c>
    </row>
    <row r="10" spans="1:14" x14ac:dyDescent="0.3">
      <c r="A10" s="1" t="s">
        <v>10</v>
      </c>
      <c r="B10" s="1">
        <v>5861588.81474456</v>
      </c>
      <c r="C10" s="1">
        <f t="shared" ref="C10:C16" si="0">B10*0.412*365.24/8765.82*0.01</f>
        <v>1006.232525722966</v>
      </c>
      <c r="D10" s="1">
        <v>2916304</v>
      </c>
      <c r="E10" s="1">
        <f t="shared" ref="E10:E16" si="1">C10/D10*100000</f>
        <v>34.503691169472248</v>
      </c>
      <c r="H10" s="1" t="s">
        <v>10</v>
      </c>
      <c r="I10" s="1">
        <v>5861588.81474456</v>
      </c>
      <c r="J10" s="1">
        <f t="shared" ref="J10:J16" si="2">I10*0.189*55.2/365.24*0.01</f>
        <v>1674.3178125743907</v>
      </c>
      <c r="K10" s="1">
        <f t="shared" ref="K10:K16" si="3">I10*0.189*310.04/8765.82*0.01</f>
        <v>391.83419493820685</v>
      </c>
      <c r="L10" s="1">
        <f t="shared" ref="L10:L16" si="4">J10+K10</f>
        <v>2066.1520075125977</v>
      </c>
      <c r="M10" s="1">
        <v>2916304</v>
      </c>
      <c r="N10" s="1">
        <f t="shared" ref="N10:N16" si="5">L10/M10*100000</f>
        <v>70.848306881333286</v>
      </c>
    </row>
    <row r="11" spans="1:14" x14ac:dyDescent="0.3">
      <c r="A11" s="1" t="s">
        <v>13</v>
      </c>
      <c r="B11" s="1">
        <v>5286713.7690358721</v>
      </c>
      <c r="C11" s="1">
        <f t="shared" si="0"/>
        <v>907.54631836507792</v>
      </c>
      <c r="D11" s="1">
        <v>2611144</v>
      </c>
      <c r="E11" s="1">
        <f t="shared" si="1"/>
        <v>34.75665525781335</v>
      </c>
      <c r="H11" s="1" t="s">
        <v>13</v>
      </c>
      <c r="I11" s="1">
        <v>5286713.7690358721</v>
      </c>
      <c r="J11" s="1">
        <f t="shared" si="2"/>
        <v>1510.109172314025</v>
      </c>
      <c r="K11" s="1">
        <f t="shared" si="3"/>
        <v>353.40507480635665</v>
      </c>
      <c r="L11" s="1">
        <f t="shared" si="4"/>
        <v>1863.5142471203817</v>
      </c>
      <c r="M11" s="1">
        <v>2611144</v>
      </c>
      <c r="N11" s="1">
        <f t="shared" si="5"/>
        <v>71.367731811052238</v>
      </c>
    </row>
    <row r="12" spans="1:14" x14ac:dyDescent="0.3">
      <c r="A12" s="1" t="s">
        <v>16</v>
      </c>
      <c r="B12" s="1">
        <v>4701986.1246543992</v>
      </c>
      <c r="C12" s="1">
        <f t="shared" si="0"/>
        <v>807.16875981201349</v>
      </c>
      <c r="D12" s="1">
        <v>2411642</v>
      </c>
      <c r="E12" s="1">
        <f t="shared" si="1"/>
        <v>33.469675839615228</v>
      </c>
      <c r="H12" s="1" t="s">
        <v>16</v>
      </c>
      <c r="I12" s="1">
        <v>4701986.1246543992</v>
      </c>
      <c r="J12" s="1">
        <f t="shared" si="2"/>
        <v>1343.0862129365464</v>
      </c>
      <c r="K12" s="1">
        <f t="shared" si="3"/>
        <v>314.31733033373223</v>
      </c>
      <c r="L12" s="1">
        <f t="shared" si="4"/>
        <v>1657.4035432702785</v>
      </c>
      <c r="M12" s="1">
        <v>2411642</v>
      </c>
      <c r="N12" s="1">
        <f t="shared" si="5"/>
        <v>68.725106930061699</v>
      </c>
    </row>
    <row r="13" spans="1:14" x14ac:dyDescent="0.3">
      <c r="A13" s="1" t="s">
        <v>19</v>
      </c>
      <c r="B13" s="1">
        <v>3211247.14834968</v>
      </c>
      <c r="C13" s="1">
        <f t="shared" si="0"/>
        <v>551.26032052546566</v>
      </c>
      <c r="D13" s="1">
        <v>2059860</v>
      </c>
      <c r="E13" s="1">
        <f t="shared" si="1"/>
        <v>26.762028512882704</v>
      </c>
      <c r="H13" s="1" t="s">
        <v>19</v>
      </c>
      <c r="I13" s="1">
        <v>3211247.14834968</v>
      </c>
      <c r="J13" s="1">
        <f t="shared" si="2"/>
        <v>917.26807713565154</v>
      </c>
      <c r="K13" s="1">
        <f t="shared" si="3"/>
        <v>214.66474037825247</v>
      </c>
      <c r="L13" s="1">
        <f t="shared" si="4"/>
        <v>1131.932817513904</v>
      </c>
      <c r="M13" s="1">
        <v>2059860</v>
      </c>
      <c r="N13" s="1">
        <f t="shared" si="5"/>
        <v>54.951929622105574</v>
      </c>
    </row>
    <row r="14" spans="1:14" x14ac:dyDescent="0.3">
      <c r="A14" s="1" t="s">
        <v>22</v>
      </c>
      <c r="B14" s="1">
        <v>2541207.9653016068</v>
      </c>
      <c r="C14" s="1">
        <f t="shared" si="0"/>
        <v>436.23771474393112</v>
      </c>
      <c r="D14" s="1">
        <v>1811505</v>
      </c>
      <c r="E14" s="1">
        <f t="shared" si="1"/>
        <v>24.081507627300567</v>
      </c>
      <c r="H14" s="1" t="s">
        <v>22</v>
      </c>
      <c r="I14" s="1">
        <v>2541207.9653016068</v>
      </c>
      <c r="J14" s="1">
        <f t="shared" si="2"/>
        <v>725.87653215416185</v>
      </c>
      <c r="K14" s="1">
        <f t="shared" si="3"/>
        <v>169.87410900433599</v>
      </c>
      <c r="L14" s="1">
        <f t="shared" si="4"/>
        <v>895.75064115849784</v>
      </c>
      <c r="M14" s="1">
        <v>1811505</v>
      </c>
      <c r="N14" s="1">
        <f t="shared" si="5"/>
        <v>49.447870205077983</v>
      </c>
    </row>
    <row r="15" spans="1:14" x14ac:dyDescent="0.3">
      <c r="A15" s="1" t="s">
        <v>25</v>
      </c>
      <c r="B15" s="1">
        <v>1263815.086478706</v>
      </c>
      <c r="C15" s="1">
        <f t="shared" si="0"/>
        <v>216.95343817283359</v>
      </c>
      <c r="D15" s="1">
        <v>955114</v>
      </c>
      <c r="E15" s="1">
        <f t="shared" si="1"/>
        <v>22.714925985048232</v>
      </c>
      <c r="H15" s="1" t="s">
        <v>25</v>
      </c>
      <c r="I15" s="1">
        <v>1263815.086478706</v>
      </c>
      <c r="J15" s="1">
        <f t="shared" si="2"/>
        <v>360.99907004202839</v>
      </c>
      <c r="K15" s="1">
        <f t="shared" si="3"/>
        <v>84.483231869740848</v>
      </c>
      <c r="L15" s="1">
        <f t="shared" si="4"/>
        <v>445.48230191176924</v>
      </c>
      <c r="M15" s="1">
        <v>955114</v>
      </c>
      <c r="N15" s="1">
        <f t="shared" si="5"/>
        <v>46.641793745225101</v>
      </c>
    </row>
    <row r="16" spans="1:14" x14ac:dyDescent="0.3">
      <c r="A16" s="1" t="s">
        <v>28</v>
      </c>
      <c r="B16" s="1">
        <v>549823.97259253997</v>
      </c>
      <c r="C16" s="1">
        <f t="shared" si="0"/>
        <v>94.385802575088363</v>
      </c>
      <c r="D16" s="1">
        <v>631277</v>
      </c>
      <c r="E16" s="1">
        <f t="shared" si="1"/>
        <v>14.951566835967153</v>
      </c>
      <c r="H16" s="1" t="s">
        <v>28</v>
      </c>
      <c r="I16" s="1">
        <v>549823.97259253997</v>
      </c>
      <c r="J16" s="1">
        <f t="shared" si="2"/>
        <v>157.05299368260464</v>
      </c>
      <c r="K16" s="1">
        <f t="shared" si="3"/>
        <v>36.754511527078726</v>
      </c>
      <c r="L16" s="1">
        <f t="shared" si="4"/>
        <v>193.80750520968337</v>
      </c>
      <c r="M16" s="1">
        <v>631277</v>
      </c>
      <c r="N16" s="1">
        <f t="shared" si="5"/>
        <v>30.700865897170875</v>
      </c>
    </row>
    <row r="19" spans="1:12" x14ac:dyDescent="0.3">
      <c r="A19" s="6" t="s">
        <v>93</v>
      </c>
      <c r="E19" s="8" t="s">
        <v>94</v>
      </c>
      <c r="H19" s="6" t="s">
        <v>93</v>
      </c>
      <c r="K19" s="6" t="s">
        <v>95</v>
      </c>
    </row>
    <row r="20" spans="1:12" x14ac:dyDescent="0.3">
      <c r="A20" s="1" t="s">
        <v>1</v>
      </c>
      <c r="B20" s="1" t="s">
        <v>4</v>
      </c>
      <c r="C20" s="1" t="s">
        <v>96</v>
      </c>
      <c r="D20" s="1" t="s">
        <v>88</v>
      </c>
      <c r="E20" s="1" t="s">
        <v>89</v>
      </c>
      <c r="H20" s="1" t="s">
        <v>1</v>
      </c>
      <c r="I20" s="1" t="s">
        <v>4</v>
      </c>
      <c r="J20" s="1" t="s">
        <v>97</v>
      </c>
      <c r="K20" s="1" t="s">
        <v>88</v>
      </c>
      <c r="L20" s="1" t="s">
        <v>89</v>
      </c>
    </row>
    <row r="21" spans="1:12" x14ac:dyDescent="0.3">
      <c r="A21" s="1">
        <v>14</v>
      </c>
      <c r="B21" s="1">
        <v>0</v>
      </c>
      <c r="C21" s="1">
        <v>0</v>
      </c>
      <c r="D21" s="1">
        <v>402305</v>
      </c>
      <c r="H21" s="1">
        <v>14</v>
      </c>
      <c r="I21" s="1">
        <v>0</v>
      </c>
      <c r="J21" s="1">
        <v>0</v>
      </c>
      <c r="K21" s="1">
        <v>402305</v>
      </c>
    </row>
    <row r="22" spans="1:12" x14ac:dyDescent="0.3">
      <c r="A22" s="1" t="s">
        <v>10</v>
      </c>
      <c r="B22" s="1">
        <v>1726451.9680000001</v>
      </c>
      <c r="C22" s="1">
        <f>B22*1*0.007</f>
        <v>12085.163776000001</v>
      </c>
      <c r="D22" s="1">
        <v>2916304</v>
      </c>
      <c r="E22" s="1">
        <f>C22/D22*100000</f>
        <v>414.40000000000003</v>
      </c>
      <c r="H22" s="1" t="s">
        <v>10</v>
      </c>
      <c r="I22" s="1">
        <v>0</v>
      </c>
      <c r="J22" s="1">
        <v>0</v>
      </c>
      <c r="K22" s="1">
        <v>2916304</v>
      </c>
      <c r="L22" s="1">
        <f>J22/K22*100000</f>
        <v>0</v>
      </c>
    </row>
    <row r="23" spans="1:12" x14ac:dyDescent="0.3">
      <c r="A23" s="1" t="s">
        <v>13</v>
      </c>
      <c r="B23" s="1">
        <v>1710299.3199999998</v>
      </c>
      <c r="C23" s="1">
        <f t="shared" ref="C23:C28" si="6">B23*1*0.007</f>
        <v>11972.095239999999</v>
      </c>
      <c r="D23" s="1">
        <v>2611144</v>
      </c>
      <c r="E23" s="1">
        <f t="shared" ref="E23:E28" si="7">C23/D23*100000</f>
        <v>458.49999999999994</v>
      </c>
      <c r="H23" s="1" t="s">
        <v>13</v>
      </c>
      <c r="I23" s="1">
        <v>18278.007999999998</v>
      </c>
      <c r="J23" s="1">
        <f>I23*1*0.067</f>
        <v>1224.626536</v>
      </c>
      <c r="K23" s="1">
        <v>2611144</v>
      </c>
      <c r="L23" s="1">
        <f t="shared" ref="L23:L28" si="8">J23/K23*100000</f>
        <v>46.9</v>
      </c>
    </row>
    <row r="24" spans="1:12" x14ac:dyDescent="0.3">
      <c r="A24" s="1" t="s">
        <v>16</v>
      </c>
      <c r="B24" s="1">
        <v>2411642</v>
      </c>
      <c r="C24" s="1">
        <f t="shared" si="6"/>
        <v>16881.493999999999</v>
      </c>
      <c r="D24" s="1">
        <v>2411642</v>
      </c>
      <c r="E24" s="1">
        <f t="shared" si="7"/>
        <v>699.99999999999989</v>
      </c>
      <c r="H24" s="1" t="s">
        <v>16</v>
      </c>
      <c r="I24" s="1">
        <v>202577.92799999999</v>
      </c>
      <c r="J24" s="1">
        <f t="shared" ref="J24:J28" si="9">I24*1*0.067</f>
        <v>13572.721175999999</v>
      </c>
      <c r="K24" s="1">
        <v>2411642</v>
      </c>
      <c r="L24" s="1">
        <f t="shared" si="8"/>
        <v>562.79999999999995</v>
      </c>
    </row>
    <row r="25" spans="1:12" x14ac:dyDescent="0.3">
      <c r="A25" s="1" t="s">
        <v>19</v>
      </c>
      <c r="B25" s="1">
        <v>1427482.9799999997</v>
      </c>
      <c r="C25" s="1">
        <f t="shared" si="6"/>
        <v>9992.3808599999993</v>
      </c>
      <c r="D25" s="1">
        <v>2059860</v>
      </c>
      <c r="E25" s="1">
        <f t="shared" si="7"/>
        <v>485.09999999999997</v>
      </c>
      <c r="H25" s="1" t="s">
        <v>19</v>
      </c>
      <c r="I25" s="1">
        <v>311038.86</v>
      </c>
      <c r="J25" s="1">
        <f t="shared" si="9"/>
        <v>20839.603620000002</v>
      </c>
      <c r="K25" s="1">
        <v>2059860</v>
      </c>
      <c r="L25" s="1">
        <f t="shared" si="8"/>
        <v>1011.7</v>
      </c>
    </row>
    <row r="26" spans="1:12" ht="14.4" x14ac:dyDescent="0.3">
      <c r="A26" s="1" t="s">
        <v>22</v>
      </c>
      <c r="B26" s="9">
        <v>1532533.2299999997</v>
      </c>
      <c r="C26" s="1">
        <f t="shared" si="6"/>
        <v>10727.732609999999</v>
      </c>
      <c r="D26" s="1">
        <v>1811505</v>
      </c>
      <c r="E26" s="1">
        <f t="shared" si="7"/>
        <v>592.19999999999993</v>
      </c>
      <c r="F26" s="10"/>
      <c r="G26" s="10"/>
      <c r="H26" s="1" t="s">
        <v>22</v>
      </c>
      <c r="I26" s="9">
        <v>400342.60499999998</v>
      </c>
      <c r="J26" s="1">
        <f t="shared" si="9"/>
        <v>26822.954535000001</v>
      </c>
      <c r="K26" s="1">
        <v>1811505</v>
      </c>
      <c r="L26" s="1">
        <f t="shared" si="8"/>
        <v>1480.7</v>
      </c>
    </row>
    <row r="27" spans="1:12" ht="14.4" x14ac:dyDescent="0.3">
      <c r="A27" s="1" t="s">
        <v>25</v>
      </c>
      <c r="B27" s="9">
        <v>735437.77999999991</v>
      </c>
      <c r="C27" s="1">
        <f t="shared" si="6"/>
        <v>5148.0644599999996</v>
      </c>
      <c r="D27" s="1">
        <v>955114</v>
      </c>
      <c r="E27" s="1">
        <f t="shared" si="7"/>
        <v>539</v>
      </c>
      <c r="F27" s="10"/>
      <c r="G27" s="10"/>
      <c r="H27" s="1" t="s">
        <v>25</v>
      </c>
      <c r="I27" s="9">
        <v>320918.304</v>
      </c>
      <c r="J27" s="1">
        <f t="shared" si="9"/>
        <v>21501.526368000003</v>
      </c>
      <c r="K27" s="1">
        <v>955114</v>
      </c>
      <c r="L27" s="1">
        <f t="shared" si="8"/>
        <v>2251.2000000000003</v>
      </c>
    </row>
    <row r="28" spans="1:12" ht="14.4" x14ac:dyDescent="0.3">
      <c r="A28" s="1" t="s">
        <v>28</v>
      </c>
      <c r="B28" s="9">
        <v>522066.07900000003</v>
      </c>
      <c r="C28" s="1">
        <f t="shared" si="6"/>
        <v>3654.4625530000003</v>
      </c>
      <c r="D28" s="1">
        <v>631277</v>
      </c>
      <c r="E28" s="1">
        <f t="shared" si="7"/>
        <v>578.90000000000009</v>
      </c>
      <c r="F28" s="10"/>
      <c r="G28" s="10"/>
      <c r="H28" s="1" t="s">
        <v>28</v>
      </c>
      <c r="I28" s="9">
        <v>243672.92200000002</v>
      </c>
      <c r="J28" s="1">
        <f t="shared" si="9"/>
        <v>16326.085774000003</v>
      </c>
      <c r="K28" s="1">
        <v>631277</v>
      </c>
      <c r="L28" s="1">
        <f t="shared" si="8"/>
        <v>2586.2000000000003</v>
      </c>
    </row>
    <row r="29" spans="1:12" ht="14.4" x14ac:dyDescent="0.3">
      <c r="B29"/>
      <c r="C29" s="11"/>
      <c r="D29" s="12"/>
      <c r="E29"/>
      <c r="F29" s="12"/>
      <c r="G29" s="12"/>
      <c r="H29" s="12"/>
    </row>
    <row r="30" spans="1:12" ht="14.4" x14ac:dyDescent="0.3">
      <c r="B30"/>
      <c r="C30"/>
      <c r="D30"/>
      <c r="E30"/>
      <c r="F30"/>
      <c r="G30"/>
      <c r="H30"/>
    </row>
    <row r="31" spans="1:12" ht="14.4" x14ac:dyDescent="0.3">
      <c r="B31"/>
      <c r="C31"/>
      <c r="D31"/>
      <c r="E31"/>
      <c r="F31"/>
      <c r="G31"/>
      <c r="H31"/>
    </row>
    <row r="32" spans="1:12" ht="14.4" x14ac:dyDescent="0.3">
      <c r="B32"/>
      <c r="C32"/>
      <c r="D32"/>
      <c r="E32"/>
      <c r="F32"/>
      <c r="G32"/>
      <c r="H32"/>
    </row>
    <row r="33" spans="2:8" ht="14.4" x14ac:dyDescent="0.3">
      <c r="B33"/>
      <c r="C33"/>
      <c r="D33"/>
      <c r="E33"/>
      <c r="F33"/>
      <c r="G33"/>
      <c r="H33"/>
    </row>
    <row r="34" spans="2:8" ht="14.4" x14ac:dyDescent="0.3">
      <c r="B34"/>
      <c r="C34"/>
      <c r="D34"/>
      <c r="E34"/>
      <c r="F34"/>
      <c r="G34"/>
      <c r="H34"/>
    </row>
    <row r="35" spans="2:8" ht="19.2" x14ac:dyDescent="0.45">
      <c r="B35"/>
      <c r="C35"/>
      <c r="D35" s="14" t="s">
        <v>160</v>
      </c>
      <c r="E35"/>
      <c r="F35"/>
      <c r="G35"/>
      <c r="H35"/>
    </row>
    <row r="36" spans="2:8" ht="14.4" x14ac:dyDescent="0.3">
      <c r="B36"/>
    </row>
    <row r="37" spans="2:8" ht="14.4" x14ac:dyDescent="0.3">
      <c r="B37"/>
    </row>
    <row r="38" spans="2:8" ht="14.4" x14ac:dyDescent="0.3">
      <c r="B38"/>
    </row>
    <row r="39" spans="2:8" ht="14.4" x14ac:dyDescent="0.3">
      <c r="B39"/>
    </row>
    <row r="40" spans="2:8" ht="14.4" x14ac:dyDescent="0.3">
      <c r="B40"/>
    </row>
    <row r="41" spans="2:8" ht="14.4" x14ac:dyDescent="0.3">
      <c r="B41"/>
    </row>
    <row r="42" spans="2:8" ht="14.4" x14ac:dyDescent="0.3">
      <c r="B42"/>
    </row>
    <row r="43" spans="2:8" ht="14.4" x14ac:dyDescent="0.3">
      <c r="B43"/>
    </row>
    <row r="44" spans="2:8" ht="14.4" x14ac:dyDescent="0.3">
      <c r="B44"/>
    </row>
    <row r="45" spans="2:8" ht="14.4" x14ac:dyDescent="0.3">
      <c r="B45"/>
      <c r="C45"/>
      <c r="D45"/>
      <c r="E45"/>
      <c r="F45"/>
      <c r="G45"/>
      <c r="H45"/>
    </row>
    <row r="46" spans="2:8" ht="14.4" x14ac:dyDescent="0.3">
      <c r="B46"/>
      <c r="C46"/>
      <c r="D46"/>
      <c r="E46"/>
      <c r="F46"/>
      <c r="G46"/>
      <c r="H46"/>
    </row>
    <row r="47" spans="2:8" ht="14.4" x14ac:dyDescent="0.3">
      <c r="B47"/>
      <c r="C47"/>
      <c r="D47"/>
      <c r="E47"/>
      <c r="F47"/>
      <c r="G47"/>
      <c r="H47"/>
    </row>
    <row r="48" spans="2:8" ht="14.4" x14ac:dyDescent="0.3">
      <c r="B48"/>
      <c r="C48"/>
      <c r="D48"/>
      <c r="E48"/>
      <c r="F48"/>
      <c r="G48"/>
      <c r="H48"/>
    </row>
    <row r="49" spans="2:8" ht="14.4" x14ac:dyDescent="0.3">
      <c r="B49"/>
      <c r="C49"/>
      <c r="D49"/>
      <c r="E49"/>
      <c r="F49"/>
      <c r="G49"/>
      <c r="H4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3211A-B9F4-4E9D-A922-0F698E2557D9}">
  <dimension ref="A1:M21"/>
  <sheetViews>
    <sheetView workbookViewId="0">
      <selection activeCell="L16" sqref="L16:L21"/>
    </sheetView>
  </sheetViews>
  <sheetFormatPr defaultRowHeight="14.4" x14ac:dyDescent="0.3"/>
  <cols>
    <col min="1" max="1" width="5.6640625" bestFit="1" customWidth="1"/>
    <col min="2" max="2" width="24.33203125" bestFit="1" customWidth="1"/>
    <col min="3" max="6" width="12" bestFit="1" customWidth="1"/>
    <col min="7" max="7" width="21.109375" bestFit="1" customWidth="1"/>
    <col min="8" max="8" width="18.88671875" bestFit="1" customWidth="1"/>
    <col min="9" max="9" width="19" bestFit="1" customWidth="1"/>
    <col min="10" max="10" width="19" customWidth="1"/>
  </cols>
  <sheetData>
    <row r="1" spans="1:13" x14ac:dyDescent="0.3">
      <c r="A1" t="s">
        <v>172</v>
      </c>
      <c r="B1" t="s">
        <v>173</v>
      </c>
      <c r="C1" t="s">
        <v>165</v>
      </c>
      <c r="D1" t="s">
        <v>166</v>
      </c>
      <c r="E1" t="s">
        <v>167</v>
      </c>
      <c r="F1" t="s">
        <v>168</v>
      </c>
      <c r="G1" s="1" t="s">
        <v>88</v>
      </c>
      <c r="H1" s="1" t="s">
        <v>170</v>
      </c>
      <c r="I1" s="1" t="s">
        <v>171</v>
      </c>
      <c r="J1" s="1"/>
      <c r="K1" s="1" t="s">
        <v>176</v>
      </c>
    </row>
    <row r="2" spans="1:13" x14ac:dyDescent="0.3">
      <c r="A2" s="1">
        <v>14</v>
      </c>
      <c r="B2" s="1">
        <v>0</v>
      </c>
      <c r="C2" s="1">
        <v>0</v>
      </c>
      <c r="D2" s="1">
        <v>0</v>
      </c>
      <c r="E2" s="1">
        <v>0</v>
      </c>
      <c r="F2" s="1">
        <v>0</v>
      </c>
      <c r="G2" s="1">
        <v>402305</v>
      </c>
      <c r="H2" s="1"/>
      <c r="I2" s="1"/>
      <c r="J2" s="1"/>
    </row>
    <row r="3" spans="1:13" x14ac:dyDescent="0.3">
      <c r="A3" s="1" t="s">
        <v>10</v>
      </c>
      <c r="B3" s="1" t="s">
        <v>34</v>
      </c>
      <c r="C3">
        <v>1490231.344</v>
      </c>
      <c r="D3">
        <v>1951007.3760000002</v>
      </c>
      <c r="E3">
        <f>C3*1*0.007</f>
        <v>10431.619408</v>
      </c>
      <c r="F3">
        <f>D3*1*0.007</f>
        <v>13657.051632000001</v>
      </c>
      <c r="G3" s="1">
        <v>2916304</v>
      </c>
      <c r="H3" s="1">
        <f>E3/G3*100000</f>
        <v>357.70000000000005</v>
      </c>
      <c r="I3" s="1">
        <f>F3/G3*100000</f>
        <v>468.30000000000007</v>
      </c>
      <c r="J3" s="1" t="s">
        <v>185</v>
      </c>
      <c r="K3">
        <v>414.40000000000003</v>
      </c>
    </row>
    <row r="4" spans="1:13" x14ac:dyDescent="0.3">
      <c r="A4" s="1" t="s">
        <v>13</v>
      </c>
      <c r="B4" s="1" t="s">
        <v>36</v>
      </c>
      <c r="C4">
        <v>1532741.5279999999</v>
      </c>
      <c r="D4">
        <v>1872190.2479999999</v>
      </c>
      <c r="E4">
        <f>C4*1*0.007</f>
        <v>10729.190696</v>
      </c>
      <c r="F4">
        <f>D4*1*0.007</f>
        <v>13105.331736</v>
      </c>
      <c r="G4" s="1">
        <v>2611144</v>
      </c>
      <c r="H4" s="1">
        <f>E4/G4*100000</f>
        <v>410.9</v>
      </c>
      <c r="I4" s="1">
        <f>F4/G4*100000</f>
        <v>501.9</v>
      </c>
      <c r="J4" s="1" t="s">
        <v>184</v>
      </c>
      <c r="K4">
        <v>458.49999999999994</v>
      </c>
    </row>
    <row r="5" spans="1:13" x14ac:dyDescent="0.3">
      <c r="A5" s="1" t="s">
        <v>16</v>
      </c>
      <c r="B5" s="1">
        <v>100</v>
      </c>
      <c r="C5">
        <v>100</v>
      </c>
      <c r="D5">
        <v>100</v>
      </c>
      <c r="E5">
        <v>100</v>
      </c>
      <c r="F5">
        <v>100</v>
      </c>
      <c r="G5" s="1">
        <v>2411642</v>
      </c>
      <c r="H5" s="1"/>
      <c r="I5" s="1"/>
      <c r="J5" s="1"/>
      <c r="K5">
        <v>699.99999999999989</v>
      </c>
    </row>
    <row r="6" spans="1:13" x14ac:dyDescent="0.3">
      <c r="A6" s="1" t="s">
        <v>19</v>
      </c>
      <c r="B6" s="1" t="s">
        <v>38</v>
      </c>
      <c r="C6">
        <v>972253.92</v>
      </c>
      <c r="D6">
        <v>1752940.8599999999</v>
      </c>
      <c r="E6">
        <f t="shared" ref="E6:F9" si="0">C6*1*0.007</f>
        <v>6805.7774400000008</v>
      </c>
      <c r="F6">
        <f t="shared" si="0"/>
        <v>12270.586019999999</v>
      </c>
      <c r="G6" s="1">
        <v>2059860</v>
      </c>
      <c r="H6" s="1">
        <f>E6/G6*100000</f>
        <v>330.40000000000003</v>
      </c>
      <c r="I6" s="1">
        <f>F6/G6*100000</f>
        <v>595.69999999999993</v>
      </c>
      <c r="J6" s="1" t="s">
        <v>183</v>
      </c>
      <c r="K6">
        <v>485.09999999999997</v>
      </c>
    </row>
    <row r="7" spans="1:13" x14ac:dyDescent="0.3">
      <c r="A7" s="1" t="s">
        <v>22</v>
      </c>
      <c r="B7" s="1" t="s">
        <v>40</v>
      </c>
      <c r="C7">
        <v>1425654.4350000001</v>
      </c>
      <c r="D7">
        <v>1614050.9549999998</v>
      </c>
      <c r="E7">
        <f t="shared" si="0"/>
        <v>9979.5810450000008</v>
      </c>
      <c r="F7">
        <f t="shared" si="0"/>
        <v>11298.356684999999</v>
      </c>
      <c r="G7" s="1">
        <v>1811505</v>
      </c>
      <c r="H7" s="1">
        <f>E7/G7*100000</f>
        <v>550.90000000000009</v>
      </c>
      <c r="I7" s="1">
        <f>F7/G7*100000</f>
        <v>623.69999999999993</v>
      </c>
      <c r="J7" s="1" t="s">
        <v>182</v>
      </c>
      <c r="K7">
        <v>592.19999999999993</v>
      </c>
    </row>
    <row r="8" spans="1:13" x14ac:dyDescent="0.3">
      <c r="A8" s="1" t="s">
        <v>25</v>
      </c>
      <c r="B8" s="1" t="s">
        <v>42</v>
      </c>
      <c r="C8">
        <v>623689.44199999992</v>
      </c>
      <c r="D8">
        <v>817577.58399999992</v>
      </c>
      <c r="E8">
        <f t="shared" si="0"/>
        <v>4365.8260939999991</v>
      </c>
      <c r="F8">
        <f t="shared" si="0"/>
        <v>5723.0430879999994</v>
      </c>
      <c r="G8" s="1">
        <v>955114</v>
      </c>
      <c r="H8" s="1">
        <f>E8/G8*100000</f>
        <v>457.09999999999985</v>
      </c>
      <c r="I8" s="1">
        <f>F8/G8*100000</f>
        <v>599.19999999999993</v>
      </c>
      <c r="J8" s="1" t="s">
        <v>181</v>
      </c>
      <c r="K8">
        <v>539</v>
      </c>
    </row>
    <row r="9" spans="1:13" x14ac:dyDescent="0.3">
      <c r="A9" s="1" t="s">
        <v>28</v>
      </c>
      <c r="B9" s="1" t="s">
        <v>44</v>
      </c>
      <c r="C9">
        <v>445050.28500000003</v>
      </c>
      <c r="D9">
        <v>571305.68500000006</v>
      </c>
      <c r="E9">
        <f t="shared" si="0"/>
        <v>3115.3519950000004</v>
      </c>
      <c r="F9">
        <f t="shared" si="0"/>
        <v>3999.1397950000005</v>
      </c>
      <c r="G9" s="1">
        <v>631277</v>
      </c>
      <c r="H9" s="1">
        <f>E9/G9*100000</f>
        <v>493.50000000000011</v>
      </c>
      <c r="I9" s="1">
        <f>F9/G9*100000</f>
        <v>633.50000000000011</v>
      </c>
      <c r="J9" s="1" t="s">
        <v>180</v>
      </c>
      <c r="K9">
        <v>578.90000000000009</v>
      </c>
      <c r="M9" s="6" t="s">
        <v>95</v>
      </c>
    </row>
    <row r="13" spans="1:13" x14ac:dyDescent="0.3">
      <c r="A13" t="s">
        <v>172</v>
      </c>
      <c r="B13" t="s">
        <v>174</v>
      </c>
      <c r="C13" t="s">
        <v>7</v>
      </c>
      <c r="D13" t="s">
        <v>8</v>
      </c>
      <c r="E13" t="s">
        <v>167</v>
      </c>
      <c r="F13" t="s">
        <v>168</v>
      </c>
      <c r="G13" s="1" t="s">
        <v>88</v>
      </c>
      <c r="H13" t="s">
        <v>170</v>
      </c>
      <c r="I13" t="s">
        <v>171</v>
      </c>
      <c r="K13" t="s">
        <v>175</v>
      </c>
    </row>
    <row r="14" spans="1:13" x14ac:dyDescent="0.3">
      <c r="A14" s="1">
        <v>14</v>
      </c>
      <c r="B14">
        <v>0</v>
      </c>
      <c r="G14" s="1">
        <v>402305</v>
      </c>
    </row>
    <row r="15" spans="1:13" x14ac:dyDescent="0.3">
      <c r="A15" s="1" t="s">
        <v>10</v>
      </c>
      <c r="B15">
        <v>0</v>
      </c>
      <c r="G15" s="1">
        <v>2916304</v>
      </c>
      <c r="K15">
        <v>0</v>
      </c>
    </row>
    <row r="16" spans="1:13" x14ac:dyDescent="0.3">
      <c r="A16" s="1" t="s">
        <v>13</v>
      </c>
      <c r="B16" t="s">
        <v>48</v>
      </c>
      <c r="C16">
        <v>2611.1440000000002</v>
      </c>
      <c r="D16">
        <v>127946.056</v>
      </c>
      <c r="E16">
        <f>C16*1*0.067</f>
        <v>174.94664800000004</v>
      </c>
      <c r="F16">
        <f>D16*1*0.067</f>
        <v>8572.3857520000001</v>
      </c>
      <c r="G16" s="1">
        <v>2611144</v>
      </c>
      <c r="H16">
        <f>E16/G16*100000</f>
        <v>6.700000000000002</v>
      </c>
      <c r="I16">
        <f>F16/G16*100000</f>
        <v>328.3</v>
      </c>
      <c r="J16" t="s">
        <v>198</v>
      </c>
      <c r="K16">
        <v>46.9</v>
      </c>
    </row>
    <row r="17" spans="1:11" x14ac:dyDescent="0.3">
      <c r="A17" s="1" t="s">
        <v>16</v>
      </c>
      <c r="B17" t="s">
        <v>50</v>
      </c>
      <c r="C17">
        <v>120582.09999999999</v>
      </c>
      <c r="D17">
        <v>330394.95399999997</v>
      </c>
      <c r="E17">
        <f t="shared" ref="E17:E21" si="1">C17*1*0.067</f>
        <v>8079.0006999999996</v>
      </c>
      <c r="F17">
        <f t="shared" ref="F17:F21" si="2">D17*1*0.067</f>
        <v>22136.461918000001</v>
      </c>
      <c r="G17" s="1">
        <v>2411642</v>
      </c>
      <c r="H17">
        <f t="shared" ref="H17:H21" si="3">E17/G17*100000</f>
        <v>334.99999999999994</v>
      </c>
      <c r="I17">
        <f t="shared" ref="I17:I21" si="4">F17/G17*100000</f>
        <v>917.9</v>
      </c>
      <c r="J17" t="s">
        <v>197</v>
      </c>
      <c r="K17">
        <v>562.79999999999995</v>
      </c>
    </row>
    <row r="18" spans="1:11" x14ac:dyDescent="0.3">
      <c r="A18" s="1" t="s">
        <v>19</v>
      </c>
      <c r="B18" t="s">
        <v>52</v>
      </c>
      <c r="C18">
        <v>216285.3</v>
      </c>
      <c r="D18">
        <v>434630.46</v>
      </c>
      <c r="E18">
        <f t="shared" si="1"/>
        <v>14491.115100000001</v>
      </c>
      <c r="F18">
        <f t="shared" si="2"/>
        <v>29120.240820000003</v>
      </c>
      <c r="G18" s="1">
        <v>2059860</v>
      </c>
      <c r="H18">
        <f t="shared" si="3"/>
        <v>703.5</v>
      </c>
      <c r="I18">
        <f t="shared" si="4"/>
        <v>1413.7000000000003</v>
      </c>
      <c r="J18" t="s">
        <v>196</v>
      </c>
      <c r="K18">
        <v>1011.7</v>
      </c>
    </row>
    <row r="19" spans="1:11" x14ac:dyDescent="0.3">
      <c r="A19" s="1" t="s">
        <v>22</v>
      </c>
      <c r="B19" t="s">
        <v>54</v>
      </c>
      <c r="C19">
        <v>307955.84999999998</v>
      </c>
      <c r="D19">
        <v>514467.41999999993</v>
      </c>
      <c r="E19">
        <f t="shared" si="1"/>
        <v>20633.041949999999</v>
      </c>
      <c r="F19">
        <f t="shared" si="2"/>
        <v>34469.317139999999</v>
      </c>
      <c r="G19" s="1">
        <v>1811505</v>
      </c>
      <c r="H19">
        <f t="shared" si="3"/>
        <v>1139</v>
      </c>
      <c r="I19">
        <f t="shared" si="4"/>
        <v>1902.8</v>
      </c>
      <c r="J19" t="s">
        <v>195</v>
      </c>
      <c r="K19">
        <v>1480.7</v>
      </c>
    </row>
    <row r="20" spans="1:11" x14ac:dyDescent="0.3">
      <c r="A20" s="1" t="s">
        <v>25</v>
      </c>
      <c r="B20" t="s">
        <v>56</v>
      </c>
      <c r="C20">
        <v>239733.614</v>
      </c>
      <c r="D20">
        <v>412609.24800000002</v>
      </c>
      <c r="E20">
        <f t="shared" si="1"/>
        <v>16062.152138000001</v>
      </c>
      <c r="F20">
        <f t="shared" si="2"/>
        <v>27644.819616000004</v>
      </c>
      <c r="G20" s="1">
        <v>955114</v>
      </c>
      <c r="H20">
        <f t="shared" si="3"/>
        <v>1681.7000000000003</v>
      </c>
      <c r="I20">
        <f t="shared" si="4"/>
        <v>2894.4000000000005</v>
      </c>
      <c r="J20" t="s">
        <v>194</v>
      </c>
      <c r="K20">
        <v>2251.2000000000003</v>
      </c>
    </row>
    <row r="21" spans="1:11" x14ac:dyDescent="0.3">
      <c r="A21" s="1" t="s">
        <v>28</v>
      </c>
      <c r="B21" t="s">
        <v>58</v>
      </c>
      <c r="C21">
        <v>179913.94500000001</v>
      </c>
      <c r="D21">
        <v>314375.946</v>
      </c>
      <c r="E21">
        <f t="shared" si="1"/>
        <v>12054.234315000002</v>
      </c>
      <c r="F21">
        <f t="shared" si="2"/>
        <v>21063.188382</v>
      </c>
      <c r="G21" s="1">
        <v>631277</v>
      </c>
      <c r="H21">
        <f t="shared" si="3"/>
        <v>1909.5</v>
      </c>
      <c r="I21">
        <f t="shared" si="4"/>
        <v>3336.6</v>
      </c>
      <c r="J21" t="s">
        <v>193</v>
      </c>
      <c r="K21">
        <v>2586.2000000000003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C04F6-7424-4D0B-9EEB-6CFE13BD7C24}">
  <dimension ref="A1:P55"/>
  <sheetViews>
    <sheetView topLeftCell="A30" workbookViewId="0">
      <selection activeCell="H55" sqref="H55"/>
    </sheetView>
  </sheetViews>
  <sheetFormatPr defaultRowHeight="14.4" x14ac:dyDescent="0.3"/>
  <cols>
    <col min="1" max="1" width="9.77734375" bestFit="1" customWidth="1"/>
    <col min="2" max="2" width="32.88671875" bestFit="1" customWidth="1"/>
    <col min="3" max="3" width="16.21875" bestFit="1" customWidth="1"/>
    <col min="4" max="4" width="18.77734375" bestFit="1" customWidth="1"/>
    <col min="5" max="5" width="22.88671875" bestFit="1" customWidth="1"/>
    <col min="6" max="6" width="20.21875" bestFit="1" customWidth="1"/>
    <col min="7" max="7" width="18.21875" bestFit="1" customWidth="1"/>
    <col min="8" max="8" width="20.109375" bestFit="1" customWidth="1"/>
    <col min="9" max="9" width="14.5546875" bestFit="1" customWidth="1"/>
    <col min="10" max="10" width="46.44140625" bestFit="1" customWidth="1"/>
    <col min="11" max="11" width="16.21875" bestFit="1" customWidth="1"/>
    <col min="12" max="12" width="20" bestFit="1" customWidth="1"/>
  </cols>
  <sheetData>
    <row r="1" spans="1:13" x14ac:dyDescent="0.3">
      <c r="A1" s="1"/>
      <c r="B1" s="1" t="s">
        <v>0</v>
      </c>
      <c r="C1" s="1"/>
      <c r="D1" s="1"/>
      <c r="E1" s="1"/>
      <c r="F1" s="1"/>
      <c r="G1" s="1"/>
      <c r="H1" s="1"/>
      <c r="I1" s="1"/>
    </row>
    <row r="2" spans="1:13" x14ac:dyDescent="0.3">
      <c r="A2" s="1" t="s">
        <v>1</v>
      </c>
      <c r="B2" s="1" t="s">
        <v>2</v>
      </c>
      <c r="C2" s="1" t="s">
        <v>3</v>
      </c>
      <c r="D2" s="1" t="s">
        <v>4</v>
      </c>
      <c r="E2" s="1" t="s">
        <v>5</v>
      </c>
      <c r="F2" s="1" t="s">
        <v>6</v>
      </c>
      <c r="G2" s="1"/>
      <c r="H2" s="2" t="s">
        <v>7</v>
      </c>
      <c r="I2" s="2" t="s">
        <v>8</v>
      </c>
    </row>
    <row r="3" spans="1:13" x14ac:dyDescent="0.3">
      <c r="A3" s="1">
        <v>12</v>
      </c>
      <c r="B3">
        <v>376432</v>
      </c>
      <c r="C3" s="1">
        <v>7.1</v>
      </c>
      <c r="D3" s="1">
        <f>B3/100*C3</f>
        <v>26726.671999999999</v>
      </c>
      <c r="E3" s="3" t="s">
        <v>9</v>
      </c>
      <c r="F3" s="1" t="s">
        <v>243</v>
      </c>
      <c r="G3" s="1"/>
      <c r="H3" s="4">
        <f>B3/100*5.2</f>
        <v>19574.464</v>
      </c>
      <c r="I3" s="2">
        <f>B3/100*9.6</f>
        <v>36137.472000000002</v>
      </c>
    </row>
    <row r="5" spans="1:13" s="1" customFormat="1" ht="13.8" x14ac:dyDescent="0.3">
      <c r="A5" s="1" t="s">
        <v>1</v>
      </c>
      <c r="B5" s="6" t="s">
        <v>159</v>
      </c>
      <c r="C5" s="1" t="s">
        <v>59</v>
      </c>
      <c r="D5" s="2" t="s">
        <v>60</v>
      </c>
      <c r="E5" s="1" t="s">
        <v>61</v>
      </c>
      <c r="F5" s="1" t="s">
        <v>62</v>
      </c>
      <c r="G5" s="2" t="s">
        <v>60</v>
      </c>
      <c r="H5" s="1" t="s">
        <v>63</v>
      </c>
      <c r="I5" s="1" t="s">
        <v>64</v>
      </c>
      <c r="J5" s="1" t="s">
        <v>65</v>
      </c>
      <c r="K5" s="1" t="s">
        <v>2</v>
      </c>
      <c r="L5" s="1" t="s">
        <v>179</v>
      </c>
    </row>
    <row r="6" spans="1:13" s="1" customFormat="1" x14ac:dyDescent="0.3">
      <c r="A6" s="1">
        <v>12</v>
      </c>
      <c r="B6" s="1">
        <v>26726.671999999999</v>
      </c>
      <c r="C6" s="1">
        <v>1.717198</v>
      </c>
      <c r="D6" s="2" t="s">
        <v>66</v>
      </c>
      <c r="E6" s="1">
        <f>B6*C6</f>
        <v>45894.987705055995</v>
      </c>
      <c r="F6" s="1">
        <v>2.2817349999999998</v>
      </c>
      <c r="G6" s="2" t="s">
        <v>67</v>
      </c>
      <c r="H6" s="1">
        <f>B6*F6</f>
        <v>60983.182935919991</v>
      </c>
      <c r="I6" s="1">
        <f>H6*0.5</f>
        <v>30491.591467959995</v>
      </c>
      <c r="J6" s="1">
        <f>E6+I6</f>
        <v>76386.579173015984</v>
      </c>
      <c r="K6">
        <v>376432</v>
      </c>
      <c r="L6" s="1">
        <f>J6/K6*100000</f>
        <v>20292.265049999998</v>
      </c>
    </row>
    <row r="8" spans="1:13" x14ac:dyDescent="0.3">
      <c r="D8" t="s">
        <v>245</v>
      </c>
      <c r="E8" t="s">
        <v>246</v>
      </c>
      <c r="G8" t="s">
        <v>232</v>
      </c>
      <c r="H8" t="s">
        <v>233</v>
      </c>
      <c r="I8" t="s">
        <v>247</v>
      </c>
      <c r="J8" t="s">
        <v>248</v>
      </c>
      <c r="L8" t="s">
        <v>249</v>
      </c>
      <c r="M8" t="s">
        <v>250</v>
      </c>
    </row>
    <row r="9" spans="1:13" x14ac:dyDescent="0.3">
      <c r="D9">
        <f>B6*1.332551</f>
        <v>35614.653500271997</v>
      </c>
      <c r="E9">
        <f>B6*2.101845</f>
        <v>56175.321909839993</v>
      </c>
      <c r="G9">
        <f>B6*1.893925</f>
        <v>50618.312267599998</v>
      </c>
      <c r="H9">
        <f>B6*2.669545</f>
        <v>71348.053604239991</v>
      </c>
      <c r="I9">
        <f>D9+G10</f>
        <v>60923.809634071993</v>
      </c>
      <c r="J9">
        <f>E9+H10</f>
        <v>91849.348711959989</v>
      </c>
      <c r="K9">
        <v>376432</v>
      </c>
      <c r="L9">
        <f>I9/K9*100000</f>
        <v>16184.545849999999</v>
      </c>
      <c r="M9">
        <f>J9/K9*100000</f>
        <v>24399.984249999998</v>
      </c>
    </row>
    <row r="10" spans="1:13" x14ac:dyDescent="0.3">
      <c r="G10">
        <f>G9*0.5</f>
        <v>25309.156133799999</v>
      </c>
      <c r="H10">
        <f>H9*0.5</f>
        <v>35674.026802119995</v>
      </c>
    </row>
    <row r="12" spans="1:13" x14ac:dyDescent="0.3">
      <c r="I12" t="s">
        <v>251</v>
      </c>
      <c r="J12">
        <v>91849.348711960003</v>
      </c>
      <c r="L12" t="s">
        <v>252</v>
      </c>
      <c r="M12">
        <v>24399.984250000001</v>
      </c>
    </row>
    <row r="14" spans="1:13" x14ac:dyDescent="0.3">
      <c r="E14" s="6" t="s">
        <v>162</v>
      </c>
    </row>
    <row r="15" spans="1:13" x14ac:dyDescent="0.3">
      <c r="D15" s="6" t="s">
        <v>163</v>
      </c>
      <c r="G15" t="s">
        <v>253</v>
      </c>
    </row>
    <row r="16" spans="1:13" x14ac:dyDescent="0.3">
      <c r="D16" s="6" t="s">
        <v>164</v>
      </c>
      <c r="G16" t="s">
        <v>251</v>
      </c>
    </row>
    <row r="19" spans="1:16" x14ac:dyDescent="0.3">
      <c r="G19" t="s">
        <v>254</v>
      </c>
      <c r="H19" t="s">
        <v>255</v>
      </c>
      <c r="I19" t="s">
        <v>256</v>
      </c>
      <c r="J19" t="s">
        <v>257</v>
      </c>
      <c r="K19" t="s">
        <v>258</v>
      </c>
    </row>
    <row r="20" spans="1:16" x14ac:dyDescent="0.3">
      <c r="G20">
        <f>60923.809634072*0.412*365.24/8765.82*0.01</f>
        <v>10.458515733916922</v>
      </c>
      <c r="H20">
        <f>91849.34871*0.412*365.24/8765.82*0.01</f>
        <v>15.767363603873052</v>
      </c>
      <c r="I20">
        <v>376432</v>
      </c>
      <c r="J20">
        <f>G20/I20*100000</f>
        <v>2.7783280204437779</v>
      </c>
      <c r="K20">
        <f>H20/I20*100000</f>
        <v>4.18863529239625</v>
      </c>
      <c r="M20" t="s">
        <v>265</v>
      </c>
      <c r="N20">
        <v>4.18863529239625</v>
      </c>
    </row>
    <row r="22" spans="1:16" x14ac:dyDescent="0.3">
      <c r="D22" t="s">
        <v>239</v>
      </c>
      <c r="E22" t="s">
        <v>240</v>
      </c>
      <c r="F22" t="s">
        <v>259</v>
      </c>
      <c r="G22" t="s">
        <v>242</v>
      </c>
      <c r="H22" t="s">
        <v>260</v>
      </c>
      <c r="I22" t="s">
        <v>261</v>
      </c>
      <c r="J22" t="s">
        <v>262</v>
      </c>
      <c r="K22" t="s">
        <v>263</v>
      </c>
      <c r="L22" t="s">
        <v>264</v>
      </c>
      <c r="O22" t="s">
        <v>266</v>
      </c>
      <c r="P22">
        <v>8.6007528052119504</v>
      </c>
    </row>
    <row r="23" spans="1:16" x14ac:dyDescent="0.3">
      <c r="D23">
        <f>I9*0.189*55.2/365.24*0.01</f>
        <v>17.402418167515783</v>
      </c>
      <c r="E23">
        <f>J9*0.189*55.2/365.24*0.01</f>
        <v>26.236060815960361</v>
      </c>
      <c r="F23">
        <f>I9*0.189*310.04/8765.82*0.01</f>
        <v>4.0726213753660385</v>
      </c>
      <c r="G23">
        <f>J9*0.189*310.04/8765.82*0.01</f>
        <v>6.1399249837550842</v>
      </c>
      <c r="H23">
        <f>D23+F23</f>
        <v>21.475039542881824</v>
      </c>
      <c r="I23">
        <f>E23+G23</f>
        <v>32.375985799715444</v>
      </c>
      <c r="J23">
        <v>376432</v>
      </c>
      <c r="K23">
        <f>H23/J23*100000</f>
        <v>5.7048921300213111</v>
      </c>
      <c r="L23">
        <f>I23/J23*100000</f>
        <v>8.6007528052119486</v>
      </c>
    </row>
    <row r="28" spans="1:16" x14ac:dyDescent="0.3">
      <c r="A28" s="1"/>
      <c r="B28" s="1" t="s">
        <v>0</v>
      </c>
      <c r="C28" s="1"/>
      <c r="D28" s="1"/>
      <c r="E28" s="1"/>
      <c r="F28" s="1"/>
      <c r="G28" s="1"/>
      <c r="H28" s="1"/>
      <c r="I28" s="1"/>
      <c r="J28" s="1"/>
      <c r="K28" s="1"/>
      <c r="L28" s="1"/>
    </row>
    <row r="29" spans="1:16" x14ac:dyDescent="0.3">
      <c r="A29" s="1" t="s">
        <v>1</v>
      </c>
      <c r="B29" s="1" t="s">
        <v>2</v>
      </c>
      <c r="C29" s="1" t="s">
        <v>3</v>
      </c>
      <c r="D29" s="1" t="s">
        <v>4</v>
      </c>
      <c r="E29" s="1" t="s">
        <v>5</v>
      </c>
      <c r="F29" s="1" t="s">
        <v>6</v>
      </c>
      <c r="G29" s="1"/>
      <c r="H29" s="2" t="s">
        <v>7</v>
      </c>
      <c r="I29" s="2" t="s">
        <v>8</v>
      </c>
      <c r="J29" s="1"/>
      <c r="K29" s="1"/>
      <c r="L29" s="1"/>
    </row>
    <row r="30" spans="1:16" ht="27.6" x14ac:dyDescent="0.3">
      <c r="A30" s="1">
        <v>12</v>
      </c>
      <c r="B30">
        <v>356637</v>
      </c>
      <c r="C30">
        <v>4.2</v>
      </c>
      <c r="D30" s="1">
        <f>B30/100*C30</f>
        <v>14978.754000000001</v>
      </c>
      <c r="E30" s="13" t="s">
        <v>102</v>
      </c>
      <c r="F30" s="4" t="s">
        <v>244</v>
      </c>
      <c r="G30" s="1"/>
      <c r="H30" s="4">
        <f>B30/100*2.8</f>
        <v>9985.8359999999993</v>
      </c>
      <c r="I30" s="2">
        <f>B30/100*6.2</f>
        <v>22111.493999999999</v>
      </c>
      <c r="J30" s="1"/>
      <c r="K30" s="4" t="s">
        <v>244</v>
      </c>
      <c r="L30" s="2">
        <v>22111.493999999999</v>
      </c>
    </row>
    <row r="33" spans="1:13" s="1" customFormat="1" ht="13.8" x14ac:dyDescent="0.3">
      <c r="A33" s="1" t="s">
        <v>1</v>
      </c>
      <c r="B33" s="1" t="s">
        <v>4</v>
      </c>
      <c r="C33" s="1" t="s">
        <v>59</v>
      </c>
      <c r="D33" s="2" t="s">
        <v>60</v>
      </c>
      <c r="E33" s="1" t="s">
        <v>61</v>
      </c>
      <c r="F33" s="1" t="s">
        <v>62</v>
      </c>
      <c r="G33" s="2" t="s">
        <v>60</v>
      </c>
      <c r="H33" s="1" t="s">
        <v>63</v>
      </c>
      <c r="I33" s="1" t="s">
        <v>64</v>
      </c>
      <c r="J33" s="1" t="s">
        <v>65</v>
      </c>
      <c r="K33" s="1" t="s">
        <v>2</v>
      </c>
      <c r="L33" s="1" t="s">
        <v>205</v>
      </c>
      <c r="M33" s="1" t="s">
        <v>1</v>
      </c>
    </row>
    <row r="34" spans="1:13" s="1" customFormat="1" x14ac:dyDescent="0.3">
      <c r="A34" s="1">
        <v>12</v>
      </c>
      <c r="B34" s="1">
        <v>14978.754000000001</v>
      </c>
      <c r="C34" s="1">
        <v>2.294934</v>
      </c>
      <c r="D34" t="s">
        <v>143</v>
      </c>
      <c r="E34" s="1">
        <v>34375.251832236005</v>
      </c>
      <c r="F34" s="1">
        <v>1.8731329999999999</v>
      </c>
      <c r="G34" t="s">
        <v>144</v>
      </c>
      <c r="H34" s="1">
        <v>28057.198416282001</v>
      </c>
      <c r="I34" s="1">
        <v>14028.599208141</v>
      </c>
      <c r="J34" s="1">
        <v>48403.851040377005</v>
      </c>
      <c r="K34">
        <v>356637</v>
      </c>
      <c r="L34" s="1">
        <v>13572.302100000003</v>
      </c>
      <c r="M34" s="1">
        <v>12</v>
      </c>
    </row>
    <row r="36" spans="1:13" x14ac:dyDescent="0.3">
      <c r="B36" t="s">
        <v>267</v>
      </c>
      <c r="C36" t="s">
        <v>268</v>
      </c>
      <c r="D36" t="s">
        <v>232</v>
      </c>
      <c r="E36" t="s">
        <v>233</v>
      </c>
      <c r="F36" t="s">
        <v>269</v>
      </c>
      <c r="G36" t="s">
        <v>270</v>
      </c>
      <c r="H36" t="s">
        <v>271</v>
      </c>
      <c r="I36" t="s">
        <v>272</v>
      </c>
      <c r="J36" s="1" t="s">
        <v>2</v>
      </c>
    </row>
    <row r="37" spans="1:13" x14ac:dyDescent="0.3">
      <c r="B37">
        <f>B34*1.63132</f>
        <v>24435.140975280003</v>
      </c>
      <c r="C37">
        <f>B34*2.958548</f>
        <v>44315.362689191999</v>
      </c>
      <c r="D37">
        <f>B34*1.631747</f>
        <v>24441.536903238004</v>
      </c>
      <c r="E37">
        <f>B34*2.11452</f>
        <v>31672.874908080004</v>
      </c>
      <c r="F37">
        <f>B37+D38</f>
        <v>36655.909426899001</v>
      </c>
      <c r="G37">
        <f>C37+E38</f>
        <v>60151.800143232002</v>
      </c>
      <c r="H37">
        <f>F37/J37*100000</f>
        <v>10278.2127</v>
      </c>
      <c r="I37">
        <f>G37/J37*100000</f>
        <v>16866.393600000003</v>
      </c>
      <c r="J37">
        <v>356637</v>
      </c>
    </row>
    <row r="38" spans="1:13" x14ac:dyDescent="0.3">
      <c r="D38">
        <f>D37*0.5</f>
        <v>12220.768451619002</v>
      </c>
      <c r="E38">
        <f>E37*0.5</f>
        <v>15836.437454040002</v>
      </c>
    </row>
    <row r="40" spans="1:13" x14ac:dyDescent="0.3">
      <c r="F40" t="s">
        <v>273</v>
      </c>
      <c r="G40">
        <v>60151.800143232002</v>
      </c>
    </row>
    <row r="41" spans="1:13" x14ac:dyDescent="0.3">
      <c r="A41" t="s">
        <v>269</v>
      </c>
      <c r="B41" t="s">
        <v>270</v>
      </c>
    </row>
    <row r="42" spans="1:13" x14ac:dyDescent="0.3">
      <c r="A42">
        <v>36655.909426899001</v>
      </c>
      <c r="B42">
        <v>60151.800143232002</v>
      </c>
    </row>
    <row r="44" spans="1:13" x14ac:dyDescent="0.3">
      <c r="B44" s="6" t="s">
        <v>162</v>
      </c>
    </row>
    <row r="45" spans="1:13" x14ac:dyDescent="0.3">
      <c r="A45" s="6" t="s">
        <v>163</v>
      </c>
    </row>
    <row r="46" spans="1:13" x14ac:dyDescent="0.3">
      <c r="A46" s="6" t="s">
        <v>164</v>
      </c>
    </row>
    <row r="49" spans="1:9" x14ac:dyDescent="0.3">
      <c r="A49" t="s">
        <v>274</v>
      </c>
      <c r="B49" t="s">
        <v>277</v>
      </c>
      <c r="C49" t="s">
        <v>262</v>
      </c>
      <c r="D49" t="s">
        <v>275</v>
      </c>
      <c r="E49" t="s">
        <v>276</v>
      </c>
    </row>
    <row r="50" spans="1:9" x14ac:dyDescent="0.3">
      <c r="A50">
        <f>A42*0.412*365.24/8765.82*0.01</f>
        <v>6.2925547135820761</v>
      </c>
      <c r="B50">
        <f>B42*0.412*365.24/8765.82*0.01</f>
        <v>10.325988345114766</v>
      </c>
      <c r="C50">
        <v>356637</v>
      </c>
      <c r="D50">
        <f>A50/C50*100000</f>
        <v>1.7644144364107135</v>
      </c>
      <c r="E50">
        <f>B50/C50*100000</f>
        <v>2.8953777496767765</v>
      </c>
    </row>
    <row r="52" spans="1:9" x14ac:dyDescent="0.3">
      <c r="A52" t="s">
        <v>278</v>
      </c>
      <c r="B52" t="s">
        <v>279</v>
      </c>
      <c r="C52" t="s">
        <v>280</v>
      </c>
      <c r="D52" t="s">
        <v>281</v>
      </c>
      <c r="E52" t="s">
        <v>269</v>
      </c>
      <c r="F52" t="s">
        <v>270</v>
      </c>
      <c r="G52" t="s">
        <v>262</v>
      </c>
      <c r="H52" t="s">
        <v>282</v>
      </c>
      <c r="I52" t="s">
        <v>283</v>
      </c>
    </row>
    <row r="53" spans="1:9" x14ac:dyDescent="0.3">
      <c r="A53">
        <f>A42*0.189*55.2/365.24*0.01</f>
        <v>10.470478914383746</v>
      </c>
      <c r="B53">
        <f>B42*0.189*55.2/365.24*0.01</f>
        <v>17.181899587512618</v>
      </c>
      <c r="C53">
        <f>A42*0.189*310.04/8765.82*0.01</f>
        <v>2.4503661403009418</v>
      </c>
      <c r="D53">
        <f>B42*0.189*310.04/8765.82*0.01</f>
        <v>4.0210142553703436</v>
      </c>
      <c r="E53">
        <f>A53+C53</f>
        <v>12.920845054684687</v>
      </c>
      <c r="F53">
        <f>B53+D53</f>
        <v>21.20291384288296</v>
      </c>
      <c r="G53">
        <v>356637</v>
      </c>
      <c r="H53">
        <f>E53/G53*100000</f>
        <v>3.62296818745242</v>
      </c>
      <c r="I53">
        <f>F53/G53*100000</f>
        <v>5.9452367092822564</v>
      </c>
    </row>
    <row r="55" spans="1:9" x14ac:dyDescent="0.3">
      <c r="H55" t="s">
        <v>284</v>
      </c>
      <c r="I55">
        <v>5.94523670928226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E0113-64F9-49DE-B6BB-C86F2B12F869}">
  <dimension ref="A1:AA34"/>
  <sheetViews>
    <sheetView zoomScale="76" workbookViewId="0">
      <selection activeCell="D3" sqref="D3"/>
    </sheetView>
  </sheetViews>
  <sheetFormatPr defaultColWidth="11.109375" defaultRowHeight="13.8" x14ac:dyDescent="0.3"/>
  <cols>
    <col min="1" max="1" width="9" style="1" bestFit="1" customWidth="1"/>
    <col min="2" max="2" width="25.21875" style="1" customWidth="1"/>
    <col min="3" max="3" width="25.44140625" style="1" customWidth="1"/>
    <col min="4" max="4" width="21.77734375" style="1" bestFit="1" customWidth="1"/>
    <col min="5" max="5" width="12.6640625" style="1" bestFit="1" customWidth="1"/>
    <col min="6" max="6" width="27.5546875" style="1" customWidth="1"/>
    <col min="7" max="7" width="18.88671875" style="1" bestFit="1" customWidth="1"/>
    <col min="8" max="8" width="13.33203125" style="1" bestFit="1" customWidth="1"/>
    <col min="9" max="9" width="9.88671875" style="1" bestFit="1" customWidth="1"/>
    <col min="10" max="16384" width="11.109375" style="1"/>
  </cols>
  <sheetData>
    <row r="1" spans="1:14" x14ac:dyDescent="0.3">
      <c r="B1" s="1" t="s">
        <v>0</v>
      </c>
    </row>
    <row r="2" spans="1:14" x14ac:dyDescent="0.3">
      <c r="A2" s="1" t="s">
        <v>1</v>
      </c>
      <c r="B2" s="1" t="s">
        <v>2</v>
      </c>
      <c r="C2" s="1" t="s">
        <v>3</v>
      </c>
      <c r="D2" s="1" t="s">
        <v>4</v>
      </c>
      <c r="E2" s="1" t="s">
        <v>5</v>
      </c>
      <c r="F2" s="1" t="s">
        <v>6</v>
      </c>
      <c r="H2" s="2" t="s">
        <v>7</v>
      </c>
      <c r="I2" s="2" t="s">
        <v>8</v>
      </c>
    </row>
    <row r="3" spans="1:14" ht="27.6" x14ac:dyDescent="0.3">
      <c r="A3" s="1">
        <v>12</v>
      </c>
      <c r="B3">
        <v>356637</v>
      </c>
      <c r="C3">
        <v>4.2</v>
      </c>
      <c r="D3" s="1">
        <f>B3/100*C3</f>
        <v>14978.754000000001</v>
      </c>
      <c r="E3" s="13" t="s">
        <v>102</v>
      </c>
      <c r="F3" s="4" t="s">
        <v>244</v>
      </c>
      <c r="H3" s="4">
        <f>B3/100*2.8</f>
        <v>9985.8359999999993</v>
      </c>
      <c r="I3" s="2">
        <f>B3/100*6.2</f>
        <v>22111.493999999999</v>
      </c>
      <c r="K3" s="4" t="s">
        <v>244</v>
      </c>
      <c r="L3" s="2">
        <v>22111.493999999999</v>
      </c>
    </row>
    <row r="4" spans="1:14" ht="14.4" x14ac:dyDescent="0.3">
      <c r="A4" s="1" t="s">
        <v>10</v>
      </c>
      <c r="B4">
        <v>2866911</v>
      </c>
      <c r="C4">
        <v>25</v>
      </c>
      <c r="D4" s="1">
        <f t="shared" ref="D4:D10" si="0">B4/100*C4</f>
        <v>716727.75</v>
      </c>
      <c r="E4" s="13" t="s">
        <v>103</v>
      </c>
      <c r="F4" s="1" t="s">
        <v>123</v>
      </c>
      <c r="H4" s="4">
        <f>B4/100*18.8</f>
        <v>538979.26800000004</v>
      </c>
      <c r="I4" s="2">
        <f>B4/100*32.4</f>
        <v>928879.16399999999</v>
      </c>
    </row>
    <row r="5" spans="1:14" ht="14.4" x14ac:dyDescent="0.3">
      <c r="A5" s="1" t="s">
        <v>13</v>
      </c>
      <c r="B5">
        <v>2573135</v>
      </c>
      <c r="C5">
        <v>15.4</v>
      </c>
      <c r="D5" s="1">
        <f t="shared" si="0"/>
        <v>396262.79</v>
      </c>
      <c r="E5" s="13" t="s">
        <v>104</v>
      </c>
      <c r="F5" s="1" t="s">
        <v>124</v>
      </c>
      <c r="H5" s="4">
        <f>B5/100*11.2</f>
        <v>288191.11999999994</v>
      </c>
      <c r="I5" s="2">
        <f>B5/100*20.8</f>
        <v>535212.07999999996</v>
      </c>
    </row>
    <row r="6" spans="1:14" ht="14.4" x14ac:dyDescent="0.3">
      <c r="A6" s="1" t="s">
        <v>16</v>
      </c>
      <c r="B6">
        <v>2601788</v>
      </c>
      <c r="C6">
        <v>15.5</v>
      </c>
      <c r="D6" s="1">
        <f t="shared" si="0"/>
        <v>403277.14</v>
      </c>
      <c r="E6" s="13" t="s">
        <v>105</v>
      </c>
      <c r="F6" s="1" t="s">
        <v>125</v>
      </c>
      <c r="H6" s="4">
        <f>B6/100*11</f>
        <v>286196.68</v>
      </c>
      <c r="I6" s="2">
        <f>B6/100*21.5</f>
        <v>559384.42000000004</v>
      </c>
    </row>
    <row r="7" spans="1:14" ht="14.4" x14ac:dyDescent="0.3">
      <c r="A7" s="1" t="s">
        <v>19</v>
      </c>
      <c r="B7">
        <v>2366354</v>
      </c>
      <c r="C7">
        <v>15.3</v>
      </c>
      <c r="D7" s="1">
        <f t="shared" si="0"/>
        <v>362052.16200000001</v>
      </c>
      <c r="E7" s="13" t="s">
        <v>106</v>
      </c>
      <c r="F7" s="1" t="s">
        <v>126</v>
      </c>
      <c r="H7" s="4">
        <f>B7/100*11</f>
        <v>260298.94</v>
      </c>
      <c r="I7" s="2">
        <f>B7/100*20.9</f>
        <v>494567.98599999998</v>
      </c>
    </row>
    <row r="8" spans="1:14" ht="14.4" x14ac:dyDescent="0.3">
      <c r="A8" s="1" t="s">
        <v>22</v>
      </c>
      <c r="B8">
        <v>2297800</v>
      </c>
      <c r="C8">
        <v>20.8</v>
      </c>
      <c r="D8" s="1">
        <f t="shared" si="0"/>
        <v>477942.4</v>
      </c>
      <c r="E8" s="13" t="s">
        <v>107</v>
      </c>
      <c r="F8" s="1" t="s">
        <v>127</v>
      </c>
      <c r="H8" s="4">
        <f>B8/100*15.7</f>
        <v>360754.6</v>
      </c>
      <c r="I8" s="2">
        <f>B8/100*27</f>
        <v>620406</v>
      </c>
    </row>
    <row r="9" spans="1:14" ht="14.4" x14ac:dyDescent="0.3">
      <c r="A9" s="1" t="s">
        <v>25</v>
      </c>
      <c r="B9">
        <v>1441588</v>
      </c>
      <c r="C9">
        <v>12.4</v>
      </c>
      <c r="D9" s="1">
        <f t="shared" si="0"/>
        <v>178756.91199999998</v>
      </c>
      <c r="E9" s="13" t="s">
        <v>108</v>
      </c>
      <c r="F9" s="1" t="s">
        <v>128</v>
      </c>
      <c r="H9" s="4">
        <f>B9/100*7.6</f>
        <v>109560.68799999999</v>
      </c>
      <c r="I9" s="2">
        <f>B9/100*19.4</f>
        <v>279668.07199999999</v>
      </c>
    </row>
    <row r="10" spans="1:14" ht="14.4" x14ac:dyDescent="0.3">
      <c r="A10" s="1" t="s">
        <v>28</v>
      </c>
      <c r="B10">
        <v>1516319</v>
      </c>
      <c r="C10">
        <v>19.3</v>
      </c>
      <c r="D10" s="1">
        <f t="shared" si="0"/>
        <v>292649.56700000004</v>
      </c>
      <c r="E10" s="13" t="s">
        <v>109</v>
      </c>
      <c r="F10" s="1" t="s">
        <v>129</v>
      </c>
      <c r="H10" s="4">
        <f>B10/100*12.9</f>
        <v>195605.15100000001</v>
      </c>
      <c r="I10" s="2">
        <f>B10/100*27.7</f>
        <v>420020.36300000001</v>
      </c>
    </row>
    <row r="12" spans="1:14" x14ac:dyDescent="0.3">
      <c r="N12" s="3"/>
    </row>
    <row r="13" spans="1:14" x14ac:dyDescent="0.3">
      <c r="B13" s="1" t="s">
        <v>31</v>
      </c>
      <c r="N13" s="3"/>
    </row>
    <row r="14" spans="1:14" x14ac:dyDescent="0.3">
      <c r="A14" s="1" t="s">
        <v>1</v>
      </c>
      <c r="B14" s="1" t="s">
        <v>2</v>
      </c>
      <c r="C14" s="1" t="s">
        <v>32</v>
      </c>
      <c r="D14" s="1" t="s">
        <v>4</v>
      </c>
      <c r="E14" s="1" t="s">
        <v>5</v>
      </c>
      <c r="F14" s="1" t="s">
        <v>6</v>
      </c>
      <c r="H14" s="2" t="s">
        <v>7</v>
      </c>
      <c r="I14" s="2" t="s">
        <v>8</v>
      </c>
      <c r="N14" s="3"/>
    </row>
    <row r="15" spans="1:14" ht="14.4" x14ac:dyDescent="0.3">
      <c r="A15" s="1">
        <v>14</v>
      </c>
      <c r="B15">
        <v>356637</v>
      </c>
      <c r="C15" s="1">
        <v>0</v>
      </c>
      <c r="D15" s="1">
        <v>0</v>
      </c>
      <c r="E15" s="1">
        <v>0</v>
      </c>
      <c r="F15" s="1">
        <v>0</v>
      </c>
      <c r="H15" s="2"/>
      <c r="I15" s="2"/>
      <c r="N15" s="3"/>
    </row>
    <row r="16" spans="1:14" ht="14.4" x14ac:dyDescent="0.3">
      <c r="A16" s="1" t="s">
        <v>10</v>
      </c>
      <c r="B16">
        <v>2866911</v>
      </c>
      <c r="C16">
        <v>52</v>
      </c>
      <c r="D16" s="1">
        <f>B16/100*C16</f>
        <v>1490793.72</v>
      </c>
      <c r="E16" s="13" t="s">
        <v>110</v>
      </c>
      <c r="F16" s="1" t="s">
        <v>130</v>
      </c>
      <c r="H16" s="2">
        <f>B16/100*44.3</f>
        <v>1270041.5729999999</v>
      </c>
      <c r="I16" s="2">
        <f>B16/100*59.7</f>
        <v>1711545.8670000001</v>
      </c>
      <c r="N16" s="3"/>
    </row>
    <row r="17" spans="1:27" ht="14.4" x14ac:dyDescent="0.3">
      <c r="A17" s="1" t="s">
        <v>13</v>
      </c>
      <c r="B17">
        <v>2573135</v>
      </c>
      <c r="C17">
        <v>56.9</v>
      </c>
      <c r="D17" s="1">
        <f t="shared" ref="D17:D22" si="1">B17/100*C17</f>
        <v>1464113.8149999999</v>
      </c>
      <c r="E17" s="13" t="s">
        <v>111</v>
      </c>
      <c r="F17" s="1" t="s">
        <v>131</v>
      </c>
      <c r="H17" s="2">
        <f>B17/100*50.2</f>
        <v>1291713.77</v>
      </c>
      <c r="I17" s="2">
        <f>B17/100*63.4</f>
        <v>1631367.5899999999</v>
      </c>
      <c r="N17" s="3"/>
    </row>
    <row r="18" spans="1:27" ht="14.4" x14ac:dyDescent="0.3">
      <c r="A18" s="1" t="s">
        <v>16</v>
      </c>
      <c r="B18">
        <v>2601788</v>
      </c>
      <c r="C18">
        <v>97.5</v>
      </c>
      <c r="D18" s="1">
        <f t="shared" si="1"/>
        <v>2536743.3000000003</v>
      </c>
      <c r="E18" s="13" t="s">
        <v>112</v>
      </c>
      <c r="F18" s="1" t="s">
        <v>132</v>
      </c>
      <c r="H18" s="2">
        <f>B18/100*83.9</f>
        <v>2182900.1320000002</v>
      </c>
      <c r="I18" s="2">
        <f>B18/100*99.7</f>
        <v>2593982.6360000004</v>
      </c>
      <c r="V18" s="5"/>
      <c r="W18" s="5"/>
      <c r="X18" s="5"/>
      <c r="Y18" s="5"/>
      <c r="Z18" s="5"/>
      <c r="AA18" s="5"/>
    </row>
    <row r="19" spans="1:27" ht="14.4" x14ac:dyDescent="0.3">
      <c r="A19" s="1" t="s">
        <v>19</v>
      </c>
      <c r="B19">
        <v>2366354</v>
      </c>
      <c r="C19">
        <v>61.5</v>
      </c>
      <c r="D19" s="1">
        <f t="shared" si="1"/>
        <v>1455307.71</v>
      </c>
      <c r="E19" s="13" t="s">
        <v>113</v>
      </c>
      <c r="F19" s="1" t="s">
        <v>133</v>
      </c>
      <c r="H19" s="2">
        <f>B19/100*36</f>
        <v>851887.44000000006</v>
      </c>
      <c r="I19" s="2">
        <f>B19/100*82</f>
        <v>1940410.28</v>
      </c>
      <c r="V19" s="5"/>
      <c r="W19" s="5"/>
      <c r="X19" s="5"/>
      <c r="Y19" s="5"/>
      <c r="Z19" s="5"/>
      <c r="AA19" s="5"/>
    </row>
    <row r="20" spans="1:27" ht="14.4" x14ac:dyDescent="0.3">
      <c r="A20" s="1" t="s">
        <v>22</v>
      </c>
      <c r="B20">
        <v>2297800</v>
      </c>
      <c r="C20">
        <v>83.4</v>
      </c>
      <c r="D20" s="1">
        <f t="shared" si="1"/>
        <v>1916365.2000000002</v>
      </c>
      <c r="E20" s="13" t="s">
        <v>114</v>
      </c>
      <c r="F20" s="1" t="s">
        <v>134</v>
      </c>
      <c r="H20" s="2">
        <f>B20/100*77</f>
        <v>1769306</v>
      </c>
      <c r="I20" s="2">
        <f>B20/100*88.2</f>
        <v>2026659.6</v>
      </c>
      <c r="J20" s="5"/>
      <c r="K20" s="5"/>
      <c r="L20" s="5"/>
      <c r="M20" s="5"/>
      <c r="N20" s="5"/>
      <c r="O20" s="5"/>
      <c r="P20" s="5"/>
      <c r="Q20" s="5"/>
      <c r="R20" s="5"/>
      <c r="V20" s="5"/>
      <c r="W20" s="5"/>
      <c r="X20" s="5"/>
      <c r="Y20" s="5"/>
      <c r="Z20" s="5"/>
      <c r="AA20" s="5"/>
    </row>
    <row r="21" spans="1:27" ht="14.4" x14ac:dyDescent="0.3">
      <c r="A21" s="1" t="s">
        <v>25</v>
      </c>
      <c r="B21">
        <v>1441588</v>
      </c>
      <c r="C21">
        <v>78.5</v>
      </c>
      <c r="D21" s="1">
        <f t="shared" si="1"/>
        <v>1131646.5799999998</v>
      </c>
      <c r="E21" s="13" t="s">
        <v>115</v>
      </c>
      <c r="F21" s="1" t="s">
        <v>135</v>
      </c>
      <c r="H21" s="2">
        <f>B21/100*67.8</f>
        <v>977396.66399999987</v>
      </c>
      <c r="I21" s="2">
        <f>B21/100*86.4</f>
        <v>1245532.0320000001</v>
      </c>
      <c r="J21" s="5"/>
      <c r="K21" s="5"/>
      <c r="L21" s="5"/>
      <c r="M21" s="5"/>
      <c r="N21" s="5"/>
      <c r="O21" s="5"/>
      <c r="P21" s="5"/>
      <c r="Q21" s="5"/>
      <c r="R21" s="5"/>
    </row>
    <row r="22" spans="1:27" ht="14.4" x14ac:dyDescent="0.3">
      <c r="A22" s="1" t="s">
        <v>28</v>
      </c>
      <c r="B22">
        <v>1516319</v>
      </c>
      <c r="C22">
        <v>69.5</v>
      </c>
      <c r="D22" s="1">
        <f t="shared" si="1"/>
        <v>1053841.7050000001</v>
      </c>
      <c r="E22" s="13" t="s">
        <v>116</v>
      </c>
      <c r="F22" s="1" t="s">
        <v>136</v>
      </c>
      <c r="H22" s="2">
        <f>B22/100*56.1</f>
        <v>850654.95900000003</v>
      </c>
      <c r="I22" s="2">
        <f>B22/100*80.2</f>
        <v>1216087.838</v>
      </c>
      <c r="J22" s="5"/>
      <c r="K22" s="5"/>
      <c r="L22" s="5"/>
      <c r="M22" s="5"/>
      <c r="N22" s="5"/>
      <c r="O22" s="5"/>
      <c r="P22" s="5"/>
      <c r="Q22" s="5"/>
      <c r="R22" s="5"/>
    </row>
    <row r="25" spans="1:27" x14ac:dyDescent="0.3">
      <c r="B25" s="1" t="s">
        <v>45</v>
      </c>
    </row>
    <row r="26" spans="1:27" x14ac:dyDescent="0.3">
      <c r="B26" s="1" t="s">
        <v>2</v>
      </c>
      <c r="C26" s="1" t="s">
        <v>46</v>
      </c>
      <c r="D26" s="1" t="s">
        <v>4</v>
      </c>
      <c r="E26" s="1" t="s">
        <v>5</v>
      </c>
      <c r="F26" s="1" t="s">
        <v>6</v>
      </c>
      <c r="H26" s="2" t="s">
        <v>7</v>
      </c>
      <c r="I26" s="2" t="s">
        <v>8</v>
      </c>
    </row>
    <row r="27" spans="1:27" ht="14.4" x14ac:dyDescent="0.3">
      <c r="A27" s="1">
        <v>14</v>
      </c>
      <c r="B27">
        <v>356637</v>
      </c>
      <c r="C27" s="1">
        <v>0</v>
      </c>
      <c r="D27" s="3">
        <v>0</v>
      </c>
      <c r="E27" s="1">
        <v>0</v>
      </c>
      <c r="F27" s="1">
        <v>0</v>
      </c>
      <c r="H27" s="2"/>
      <c r="I27" s="2"/>
    </row>
    <row r="28" spans="1:27" ht="14.4" x14ac:dyDescent="0.3">
      <c r="A28" s="1" t="s">
        <v>10</v>
      </c>
      <c r="B28">
        <v>2866911</v>
      </c>
      <c r="C28">
        <v>0</v>
      </c>
      <c r="D28" s="1">
        <v>0</v>
      </c>
      <c r="E28" s="1">
        <v>0</v>
      </c>
      <c r="F28" s="1">
        <v>0</v>
      </c>
      <c r="H28" s="2"/>
      <c r="I28" s="2"/>
    </row>
    <row r="29" spans="1:27" ht="14.4" x14ac:dyDescent="0.3">
      <c r="A29" s="1" t="s">
        <v>13</v>
      </c>
      <c r="B29">
        <v>2573135</v>
      </c>
      <c r="C29">
        <v>1.4</v>
      </c>
      <c r="D29" s="1">
        <f>B29/100*C29</f>
        <v>36023.889999999992</v>
      </c>
      <c r="E29" s="13" t="s">
        <v>117</v>
      </c>
      <c r="F29" s="1" t="s">
        <v>137</v>
      </c>
      <c r="H29" s="2">
        <f>B29/100*0.4</f>
        <v>10292.540000000001</v>
      </c>
      <c r="I29" s="2">
        <f>B29/100*5.4</f>
        <v>138949.29</v>
      </c>
    </row>
    <row r="30" spans="1:27" ht="14.4" x14ac:dyDescent="0.3">
      <c r="A30" s="1" t="s">
        <v>16</v>
      </c>
      <c r="B30">
        <v>2601788</v>
      </c>
      <c r="C30">
        <v>11.9</v>
      </c>
      <c r="D30" s="1">
        <f t="shared" ref="D30:D34" si="2">B30/100*C30</f>
        <v>309612.772</v>
      </c>
      <c r="E30" s="13" t="s">
        <v>118</v>
      </c>
      <c r="F30" s="1" t="s">
        <v>138</v>
      </c>
      <c r="H30" s="2">
        <f>B30/100*7.9</f>
        <v>205541.25200000001</v>
      </c>
      <c r="I30" s="2">
        <f>B30/100*17.4</f>
        <v>452711.11199999996</v>
      </c>
    </row>
    <row r="31" spans="1:27" ht="14.4" x14ac:dyDescent="0.3">
      <c r="A31" s="1" t="s">
        <v>19</v>
      </c>
      <c r="B31">
        <v>2366354</v>
      </c>
      <c r="C31">
        <v>13.6</v>
      </c>
      <c r="D31" s="1">
        <f t="shared" si="2"/>
        <v>321824.14400000003</v>
      </c>
      <c r="E31" s="13" t="s">
        <v>119</v>
      </c>
      <c r="F31" s="1" t="s">
        <v>139</v>
      </c>
      <c r="H31" s="2">
        <f>B31/100*9.7</f>
        <v>229536.33799999999</v>
      </c>
      <c r="I31" s="2">
        <f>B31/100*28.9</f>
        <v>683876.30599999998</v>
      </c>
    </row>
    <row r="32" spans="1:27" ht="14.4" x14ac:dyDescent="0.3">
      <c r="A32" s="1" t="s">
        <v>22</v>
      </c>
      <c r="B32">
        <v>2297800</v>
      </c>
      <c r="C32">
        <v>21.4</v>
      </c>
      <c r="D32" s="1">
        <f t="shared" si="2"/>
        <v>491729.19999999995</v>
      </c>
      <c r="E32" s="13" t="s">
        <v>120</v>
      </c>
      <c r="F32" s="1" t="s">
        <v>140</v>
      </c>
      <c r="H32" s="2">
        <f>B32/100*16.4</f>
        <v>376839.19999999995</v>
      </c>
      <c r="I32" s="2">
        <f>B32/100*27.5</f>
        <v>631895</v>
      </c>
    </row>
    <row r="33" spans="1:9" ht="14.4" x14ac:dyDescent="0.3">
      <c r="A33" s="1" t="s">
        <v>25</v>
      </c>
      <c r="B33">
        <v>1441588</v>
      </c>
      <c r="C33">
        <v>44.8</v>
      </c>
      <c r="D33" s="1">
        <f t="shared" si="2"/>
        <v>645831.42399999988</v>
      </c>
      <c r="E33" s="13" t="s">
        <v>121</v>
      </c>
      <c r="F33" s="1" t="s">
        <v>141</v>
      </c>
      <c r="H33" s="2">
        <f>B33/100*36.5</f>
        <v>526179.62</v>
      </c>
      <c r="I33" s="2">
        <f>B33/100*53.5</f>
        <v>771249.58</v>
      </c>
    </row>
    <row r="34" spans="1:9" ht="14.4" x14ac:dyDescent="0.3">
      <c r="A34" s="1" t="s">
        <v>28</v>
      </c>
      <c r="B34">
        <v>1516319</v>
      </c>
      <c r="C34">
        <v>47.2</v>
      </c>
      <c r="D34" s="1">
        <f t="shared" si="2"/>
        <v>715702.56800000009</v>
      </c>
      <c r="E34" s="13" t="s">
        <v>122</v>
      </c>
      <c r="F34" s="1" t="s">
        <v>142</v>
      </c>
      <c r="H34" s="2">
        <f>B34/100*38.3</f>
        <v>580750.17700000003</v>
      </c>
      <c r="I34" s="2">
        <f>B34/100*56.2</f>
        <v>852171.27800000005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AC682-473C-4106-A916-EA0B3FE27462}">
  <dimension ref="A1:Q49"/>
  <sheetViews>
    <sheetView topLeftCell="D1" workbookViewId="0">
      <selection activeCell="L2" sqref="L2"/>
    </sheetView>
  </sheetViews>
  <sheetFormatPr defaultRowHeight="14.4" x14ac:dyDescent="0.3"/>
  <cols>
    <col min="1" max="1" width="9.77734375" style="1" bestFit="1" customWidth="1"/>
    <col min="2" max="2" width="9.77734375" style="1" customWidth="1"/>
    <col min="3" max="3" width="16.21875" style="1" bestFit="1" customWidth="1"/>
    <col min="4" max="4" width="18.77734375" style="1" bestFit="1" customWidth="1"/>
    <col min="5" max="5" width="22.88671875" style="1" bestFit="1" customWidth="1"/>
    <col min="6" max="6" width="15.88671875" style="1" bestFit="1" customWidth="1"/>
    <col min="7" max="7" width="18.21875" bestFit="1" customWidth="1"/>
    <col min="8" max="8" width="20.109375" style="1" bestFit="1" customWidth="1"/>
    <col min="9" max="9" width="14.5546875" style="1" bestFit="1" customWidth="1"/>
    <col min="10" max="10" width="46.44140625" style="1" bestFit="1" customWidth="1"/>
    <col min="11" max="11" width="23.21875" style="1" customWidth="1"/>
    <col min="12" max="12" width="8.88671875" style="1"/>
    <col min="13" max="13" width="9.77734375" style="1" bestFit="1" customWidth="1"/>
    <col min="14" max="16384" width="8.88671875" style="1"/>
  </cols>
  <sheetData>
    <row r="1" spans="1:17" ht="13.8" x14ac:dyDescent="0.3">
      <c r="A1" s="1" t="s">
        <v>1</v>
      </c>
      <c r="B1" s="1" t="s">
        <v>4</v>
      </c>
      <c r="C1" s="1" t="s">
        <v>59</v>
      </c>
      <c r="D1" s="2" t="s">
        <v>60</v>
      </c>
      <c r="E1" s="1" t="s">
        <v>61</v>
      </c>
      <c r="F1" s="1" t="s">
        <v>62</v>
      </c>
      <c r="G1" s="2" t="s">
        <v>60</v>
      </c>
      <c r="H1" s="1" t="s">
        <v>63</v>
      </c>
      <c r="I1" s="1" t="s">
        <v>64</v>
      </c>
      <c r="J1" s="1" t="s">
        <v>65</v>
      </c>
      <c r="K1" s="1" t="s">
        <v>2</v>
      </c>
      <c r="L1" s="1" t="s">
        <v>205</v>
      </c>
      <c r="M1" s="1" t="s">
        <v>1</v>
      </c>
    </row>
    <row r="2" spans="1:17" x14ac:dyDescent="0.3">
      <c r="A2" s="1">
        <v>12</v>
      </c>
      <c r="B2" s="1">
        <v>14978.754000000001</v>
      </c>
      <c r="C2" s="1">
        <v>2.294934</v>
      </c>
      <c r="D2" t="s">
        <v>143</v>
      </c>
      <c r="E2" s="1">
        <f>B2*C2</f>
        <v>34375.251832236005</v>
      </c>
      <c r="F2" s="1">
        <v>1.8731329999999999</v>
      </c>
      <c r="G2" t="s">
        <v>144</v>
      </c>
      <c r="H2" s="1">
        <f>B2*F2</f>
        <v>28057.198416282001</v>
      </c>
      <c r="I2" s="1">
        <f>H2*0.5</f>
        <v>14028.599208141</v>
      </c>
      <c r="J2" s="1">
        <f>E2+I2</f>
        <v>48403.851040377005</v>
      </c>
      <c r="K2">
        <v>356637</v>
      </c>
      <c r="L2" s="1">
        <f>J2/K2*100000</f>
        <v>13572.302100000003</v>
      </c>
      <c r="M2" s="1">
        <v>12</v>
      </c>
    </row>
    <row r="3" spans="1:17" x14ac:dyDescent="0.3">
      <c r="A3" s="1" t="s">
        <v>10</v>
      </c>
      <c r="B3" s="1">
        <v>716727.75</v>
      </c>
      <c r="C3" s="1">
        <v>1.7798750000000001</v>
      </c>
      <c r="D3" t="s">
        <v>145</v>
      </c>
      <c r="E3" s="1">
        <f t="shared" ref="E3:E9" si="0">B3*C3</f>
        <v>1275685.8040312501</v>
      </c>
      <c r="F3" s="1">
        <v>8.9536639999999998</v>
      </c>
      <c r="G3" t="s">
        <v>146</v>
      </c>
      <c r="H3" s="1">
        <f t="shared" ref="H3:H9" si="1">B3*F3</f>
        <v>6417339.4529759996</v>
      </c>
      <c r="I3" s="1">
        <f t="shared" ref="I3:I9" si="2">H3*0.5</f>
        <v>3208669.7264879998</v>
      </c>
      <c r="J3" s="1">
        <f t="shared" ref="J3:J9" si="3">E3+I3</f>
        <v>4484355.5305192498</v>
      </c>
      <c r="K3" s="1">
        <v>2866911</v>
      </c>
      <c r="L3" s="1">
        <f t="shared" ref="L3:L9" si="4">J3/K3*100000</f>
        <v>156417.67499999999</v>
      </c>
      <c r="M3" s="1" t="s">
        <v>10</v>
      </c>
    </row>
    <row r="4" spans="1:17" x14ac:dyDescent="0.3">
      <c r="A4" s="1" t="s">
        <v>13</v>
      </c>
      <c r="B4" s="1">
        <v>396262.79</v>
      </c>
      <c r="C4" s="1">
        <v>2.0583580000000001</v>
      </c>
      <c r="D4" t="s">
        <v>147</v>
      </c>
      <c r="E4" s="1">
        <f t="shared" si="0"/>
        <v>815650.68389881996</v>
      </c>
      <c r="F4" s="1">
        <v>9.9235399999999991</v>
      </c>
      <c r="G4" t="s">
        <v>148</v>
      </c>
      <c r="H4" s="1">
        <f t="shared" si="1"/>
        <v>3932329.6470765993</v>
      </c>
      <c r="I4" s="1">
        <f t="shared" si="2"/>
        <v>1966164.8235382996</v>
      </c>
      <c r="J4" s="1">
        <f t="shared" si="3"/>
        <v>2781815.5074371197</v>
      </c>
      <c r="K4" s="1">
        <v>2573135</v>
      </c>
      <c r="L4" s="1">
        <f t="shared" si="4"/>
        <v>108109.97119999999</v>
      </c>
      <c r="M4" s="1" t="s">
        <v>13</v>
      </c>
    </row>
    <row r="5" spans="1:17" x14ac:dyDescent="0.3">
      <c r="A5" s="1" t="s">
        <v>16</v>
      </c>
      <c r="B5" s="1">
        <v>403277.14</v>
      </c>
      <c r="C5" s="1">
        <v>1.9827140000000001</v>
      </c>
      <c r="D5" t="s">
        <v>149</v>
      </c>
      <c r="E5" s="1">
        <f t="shared" si="0"/>
        <v>799583.23135796003</v>
      </c>
      <c r="F5" s="1">
        <v>8.7430920000000008</v>
      </c>
      <c r="G5" t="s">
        <v>150</v>
      </c>
      <c r="H5" s="1">
        <f t="shared" si="1"/>
        <v>3525889.1365168802</v>
      </c>
      <c r="I5" s="1">
        <f t="shared" si="2"/>
        <v>1762944.5682584401</v>
      </c>
      <c r="J5" s="1">
        <f t="shared" si="3"/>
        <v>2562527.7996164002</v>
      </c>
      <c r="K5" s="1">
        <v>2601788</v>
      </c>
      <c r="L5" s="1">
        <f t="shared" si="4"/>
        <v>98491.03</v>
      </c>
      <c r="M5" s="1" t="s">
        <v>16</v>
      </c>
    </row>
    <row r="6" spans="1:17" x14ac:dyDescent="0.3">
      <c r="A6" s="1" t="s">
        <v>19</v>
      </c>
      <c r="B6" s="1">
        <v>362052.16200000001</v>
      </c>
      <c r="C6" s="1">
        <v>1.631891</v>
      </c>
      <c r="D6" t="s">
        <v>151</v>
      </c>
      <c r="E6" s="1">
        <f t="shared" si="0"/>
        <v>590829.66469834198</v>
      </c>
      <c r="F6" s="1">
        <v>7.907896</v>
      </c>
      <c r="G6" t="s">
        <v>152</v>
      </c>
      <c r="H6" s="1">
        <f t="shared" si="1"/>
        <v>2863070.8436711519</v>
      </c>
      <c r="I6" s="1">
        <f t="shared" si="2"/>
        <v>1431535.421835576</v>
      </c>
      <c r="J6" s="1">
        <f t="shared" si="3"/>
        <v>2022365.086533918</v>
      </c>
      <c r="K6" s="1">
        <v>2366354</v>
      </c>
      <c r="L6" s="1">
        <f t="shared" si="4"/>
        <v>85463.3367</v>
      </c>
      <c r="M6" s="1" t="s">
        <v>19</v>
      </c>
    </row>
    <row r="7" spans="1:17" x14ac:dyDescent="0.3">
      <c r="A7" s="1" t="s">
        <v>22</v>
      </c>
      <c r="B7" s="1">
        <v>477942.4</v>
      </c>
      <c r="C7" s="1">
        <v>2.4536859999999998</v>
      </c>
      <c r="D7" t="s">
        <v>153</v>
      </c>
      <c r="E7" s="1">
        <f t="shared" si="0"/>
        <v>1172720.5756864001</v>
      </c>
      <c r="F7" s="1">
        <v>6.684634</v>
      </c>
      <c r="G7" t="s">
        <v>154</v>
      </c>
      <c r="H7" s="1">
        <f t="shared" si="1"/>
        <v>3194870.0170816001</v>
      </c>
      <c r="I7" s="1">
        <f t="shared" si="2"/>
        <v>1597435.0085408001</v>
      </c>
      <c r="J7" s="1">
        <f t="shared" si="3"/>
        <v>2770155.5842272001</v>
      </c>
      <c r="K7" s="1">
        <v>2297800</v>
      </c>
      <c r="L7" s="1">
        <f t="shared" si="4"/>
        <v>120556.86240000001</v>
      </c>
      <c r="M7" s="1" t="s">
        <v>22</v>
      </c>
    </row>
    <row r="8" spans="1:17" x14ac:dyDescent="0.3">
      <c r="A8" s="1" t="s">
        <v>25</v>
      </c>
      <c r="B8" s="1">
        <v>178756.91199999998</v>
      </c>
      <c r="C8" s="1">
        <v>2.2706569999999999</v>
      </c>
      <c r="D8" s="2" t="s">
        <v>155</v>
      </c>
      <c r="E8" s="1">
        <f t="shared" si="0"/>
        <v>405895.63353118394</v>
      </c>
      <c r="F8" s="1">
        <v>5.6118589999999999</v>
      </c>
      <c r="G8" t="s">
        <v>156</v>
      </c>
      <c r="H8" s="1">
        <f t="shared" si="1"/>
        <v>1003158.5854194079</v>
      </c>
      <c r="I8" s="1">
        <f t="shared" si="2"/>
        <v>501579.29270970396</v>
      </c>
      <c r="J8" s="1">
        <f t="shared" si="3"/>
        <v>907474.92624088796</v>
      </c>
      <c r="K8" s="1">
        <v>1441588</v>
      </c>
      <c r="L8" s="1">
        <f t="shared" si="4"/>
        <v>62949.672599999998</v>
      </c>
      <c r="M8" s="1" t="s">
        <v>25</v>
      </c>
    </row>
    <row r="9" spans="1:17" x14ac:dyDescent="0.3">
      <c r="A9" s="1" t="s">
        <v>28</v>
      </c>
      <c r="B9" s="1">
        <v>292649.56700000004</v>
      </c>
      <c r="C9" s="1">
        <v>4.0870860000000002</v>
      </c>
      <c r="D9" s="2" t="s">
        <v>157</v>
      </c>
      <c r="E9" s="1">
        <f t="shared" si="0"/>
        <v>1196083.9481917622</v>
      </c>
      <c r="F9" s="1">
        <v>5.7917829999999997</v>
      </c>
      <c r="G9" t="s">
        <v>158</v>
      </c>
      <c r="H9" s="1">
        <f t="shared" si="1"/>
        <v>1694962.787107961</v>
      </c>
      <c r="I9" s="1">
        <f t="shared" si="2"/>
        <v>847481.39355398051</v>
      </c>
      <c r="J9" s="1">
        <f t="shared" si="3"/>
        <v>2043565.3417457426</v>
      </c>
      <c r="K9" s="1">
        <v>1516319</v>
      </c>
      <c r="L9" s="1">
        <f t="shared" si="4"/>
        <v>134771.46575</v>
      </c>
      <c r="M9" s="1" t="s">
        <v>28</v>
      </c>
    </row>
    <row r="13" spans="1:17" ht="13.8" x14ac:dyDescent="0.3">
      <c r="B13" s="1" t="s">
        <v>7</v>
      </c>
      <c r="C13" s="1" t="s">
        <v>8</v>
      </c>
      <c r="D13" s="1" t="s">
        <v>206</v>
      </c>
      <c r="E13" s="1" t="s">
        <v>207</v>
      </c>
      <c r="F13" s="1" t="s">
        <v>230</v>
      </c>
      <c r="G13" s="1" t="s">
        <v>231</v>
      </c>
      <c r="H13" s="1" t="s">
        <v>232</v>
      </c>
      <c r="I13" s="1" t="s">
        <v>233</v>
      </c>
      <c r="J13" s="1" t="s">
        <v>234</v>
      </c>
      <c r="K13" s="1" t="s">
        <v>235</v>
      </c>
      <c r="L13" s="1" t="s">
        <v>236</v>
      </c>
      <c r="M13" s="1" t="s">
        <v>237</v>
      </c>
      <c r="N13" s="1" t="s">
        <v>216</v>
      </c>
      <c r="O13" s="1" t="s">
        <v>217</v>
      </c>
    </row>
    <row r="14" spans="1:17" x14ac:dyDescent="0.3">
      <c r="B14" s="4">
        <v>9985.8359999999993</v>
      </c>
      <c r="C14" s="2">
        <v>22111.493999999999</v>
      </c>
      <c r="D14" s="1">
        <v>1.6313200000000001</v>
      </c>
      <c r="E14" s="1">
        <v>2.958548</v>
      </c>
      <c r="F14" s="1">
        <f>B14*D14</f>
        <v>16290.093983520001</v>
      </c>
      <c r="G14">
        <f>C14*E14</f>
        <v>65417.916350711996</v>
      </c>
      <c r="H14" s="1">
        <v>1.6317470000000001</v>
      </c>
      <c r="I14" s="1">
        <v>2.1145200000000002</v>
      </c>
      <c r="J14" s="1">
        <f>B14*H14</f>
        <v>16294.357935492</v>
      </c>
      <c r="K14" s="1">
        <f>C14*I14</f>
        <v>46755.196292879999</v>
      </c>
      <c r="L14" s="1">
        <f>J14*0.5</f>
        <v>8147.1789677460001</v>
      </c>
      <c r="M14" s="1">
        <f>K14*0.5</f>
        <v>23377.598146439999</v>
      </c>
      <c r="N14" s="1">
        <f>F14+L14</f>
        <v>24437.272951266001</v>
      </c>
      <c r="O14" s="1">
        <f>G14+M14</f>
        <v>88795.514497151991</v>
      </c>
      <c r="P14" s="1">
        <f>N14/K2*100000</f>
        <v>6852.1418000000003</v>
      </c>
      <c r="Q14" s="1">
        <f>O14/K2*100000</f>
        <v>24898.009599999998</v>
      </c>
    </row>
    <row r="15" spans="1:17" x14ac:dyDescent="0.3">
      <c r="B15" s="1">
        <v>538979.26800000004</v>
      </c>
      <c r="C15" s="1">
        <v>928879.16399999999</v>
      </c>
      <c r="D15" s="1">
        <v>1.2628010000000001</v>
      </c>
      <c r="E15" s="1">
        <v>2.2969490000000001</v>
      </c>
      <c r="F15" s="1">
        <f t="shared" ref="F15:F21" si="5">B15*D15</f>
        <v>680623.55860966805</v>
      </c>
      <c r="G15">
        <f t="shared" ref="G15:G21" si="6">C15*E15</f>
        <v>2133588.0668706363</v>
      </c>
      <c r="H15" s="1">
        <v>8.2718240000000005</v>
      </c>
      <c r="I15" s="1">
        <v>9.6355050000000002</v>
      </c>
      <c r="J15" s="1">
        <f t="shared" ref="J15:J21" si="7">B15*H15</f>
        <v>4458341.6445448324</v>
      </c>
      <c r="K15" s="1">
        <f t="shared" ref="K15:K21" si="8">C15*I15</f>
        <v>8950219.8291178197</v>
      </c>
      <c r="L15" s="1">
        <f t="shared" ref="L15:L21" si="9">J15*0.5</f>
        <v>2229170.8222724162</v>
      </c>
      <c r="M15" s="1">
        <f t="shared" ref="M15:M21" si="10">K15*0.5</f>
        <v>4475109.9145589098</v>
      </c>
      <c r="N15" s="1">
        <f t="shared" ref="N15:N21" si="11">F15+L15</f>
        <v>2909794.3808820844</v>
      </c>
      <c r="O15" s="1">
        <f t="shared" ref="O15:O21" si="12">G15+M15</f>
        <v>6608697.9814295461</v>
      </c>
      <c r="P15" s="1">
        <f t="shared" ref="P15:P21" si="13">N15/K3*100000</f>
        <v>101495.80440000001</v>
      </c>
      <c r="Q15" s="1">
        <f t="shared" ref="Q15:Q21" si="14">O15/K3*100000</f>
        <v>230516.32860000001</v>
      </c>
    </row>
    <row r="16" spans="1:17" x14ac:dyDescent="0.3">
      <c r="B16" s="1">
        <v>288191.11999999994</v>
      </c>
      <c r="C16" s="1">
        <v>535212.07999999996</v>
      </c>
      <c r="D16" s="1">
        <v>1.5201990000000001</v>
      </c>
      <c r="E16" s="1">
        <v>2.5965180000000001</v>
      </c>
      <c r="F16" s="1">
        <f t="shared" si="5"/>
        <v>438107.85243287991</v>
      </c>
      <c r="G16">
        <f t="shared" si="6"/>
        <v>1389687.7995374398</v>
      </c>
      <c r="H16" s="1">
        <v>9.3217040000000004</v>
      </c>
      <c r="I16" s="1">
        <v>10.52538</v>
      </c>
      <c r="J16" s="1">
        <f t="shared" si="7"/>
        <v>2686432.3160684793</v>
      </c>
      <c r="K16" s="1">
        <f t="shared" si="8"/>
        <v>5633310.5225903997</v>
      </c>
      <c r="L16" s="1">
        <f t="shared" si="9"/>
        <v>1343216.1580342397</v>
      </c>
      <c r="M16" s="1">
        <f t="shared" si="10"/>
        <v>2816655.2612951999</v>
      </c>
      <c r="N16" s="1">
        <f t="shared" si="11"/>
        <v>1781324.0104671195</v>
      </c>
      <c r="O16" s="1">
        <f t="shared" si="12"/>
        <v>4206343.0608326402</v>
      </c>
      <c r="P16" s="1">
        <f t="shared" si="13"/>
        <v>69227.771199999974</v>
      </c>
      <c r="Q16" s="1">
        <f t="shared" si="14"/>
        <v>163471.5264</v>
      </c>
    </row>
    <row r="17" spans="2:17" x14ac:dyDescent="0.3">
      <c r="B17" s="1">
        <v>286196.68</v>
      </c>
      <c r="C17" s="1">
        <v>559384.42000000004</v>
      </c>
      <c r="D17" s="1">
        <v>1.360303</v>
      </c>
      <c r="E17" s="1">
        <v>2.6051250000000001</v>
      </c>
      <c r="F17" s="1">
        <f t="shared" si="5"/>
        <v>389314.20239404001</v>
      </c>
      <c r="G17">
        <f t="shared" si="6"/>
        <v>1457266.3371525002</v>
      </c>
      <c r="H17" s="1">
        <v>8.0117089999999997</v>
      </c>
      <c r="I17" s="1">
        <v>9.4744759999999992</v>
      </c>
      <c r="J17" s="1">
        <f t="shared" si="7"/>
        <v>2292924.51692612</v>
      </c>
      <c r="K17" s="1">
        <f t="shared" si="8"/>
        <v>5299874.2620639196</v>
      </c>
      <c r="L17" s="1">
        <f t="shared" si="9"/>
        <v>1146462.25846306</v>
      </c>
      <c r="M17" s="1">
        <f t="shared" si="10"/>
        <v>2649937.1310319598</v>
      </c>
      <c r="N17" s="1">
        <f t="shared" si="11"/>
        <v>1535776.4608571001</v>
      </c>
      <c r="O17" s="1">
        <f t="shared" si="12"/>
        <v>4107203.46818446</v>
      </c>
      <c r="P17" s="1">
        <f t="shared" si="13"/>
        <v>59027.732500000006</v>
      </c>
      <c r="Q17" s="1">
        <f t="shared" si="14"/>
        <v>157860.8045</v>
      </c>
    </row>
    <row r="18" spans="2:17" x14ac:dyDescent="0.3">
      <c r="B18" s="1">
        <v>260298.94</v>
      </c>
      <c r="C18" s="1">
        <v>494567.98599999998</v>
      </c>
      <c r="D18" s="1">
        <v>1.2846040000000001</v>
      </c>
      <c r="E18" s="1">
        <v>1.9791780000000001</v>
      </c>
      <c r="F18" s="1">
        <f t="shared" si="5"/>
        <v>334381.05951976002</v>
      </c>
      <c r="G18">
        <f t="shared" si="6"/>
        <v>978838.07739550795</v>
      </c>
      <c r="H18" s="1">
        <v>7.1686839999999998</v>
      </c>
      <c r="I18" s="1">
        <v>8.6471090000000004</v>
      </c>
      <c r="J18" s="1">
        <f t="shared" si="7"/>
        <v>1866000.8463949601</v>
      </c>
      <c r="K18" s="1">
        <f t="shared" si="8"/>
        <v>4276583.2828524737</v>
      </c>
      <c r="L18" s="1">
        <f t="shared" si="9"/>
        <v>933000.42319748004</v>
      </c>
      <c r="M18" s="1">
        <f t="shared" si="10"/>
        <v>2138291.6414262368</v>
      </c>
      <c r="N18" s="1">
        <f t="shared" si="11"/>
        <v>1267381.48271724</v>
      </c>
      <c r="O18" s="1">
        <f t="shared" si="12"/>
        <v>3117129.7188217449</v>
      </c>
      <c r="P18" s="1">
        <f t="shared" si="13"/>
        <v>53558.406000000003</v>
      </c>
      <c r="Q18" s="1">
        <f t="shared" si="14"/>
        <v>131727.10925000001</v>
      </c>
    </row>
    <row r="19" spans="2:17" x14ac:dyDescent="0.3">
      <c r="B19" s="1">
        <v>360754.6</v>
      </c>
      <c r="C19" s="1">
        <v>620406</v>
      </c>
      <c r="D19" s="1">
        <v>1.8496010000000001</v>
      </c>
      <c r="E19" s="1">
        <v>3.0577700000000001</v>
      </c>
      <c r="F19" s="1">
        <f t="shared" si="5"/>
        <v>667252.06891459995</v>
      </c>
      <c r="G19">
        <f t="shared" si="6"/>
        <v>1897058.8546200001</v>
      </c>
      <c r="H19" s="1">
        <v>5.9795670000000003</v>
      </c>
      <c r="I19" s="1">
        <v>7.3897009999999996</v>
      </c>
      <c r="J19" s="1">
        <f t="shared" si="7"/>
        <v>2157156.3012581998</v>
      </c>
      <c r="K19" s="1">
        <f t="shared" si="8"/>
        <v>4584614.8386059999</v>
      </c>
      <c r="L19" s="1">
        <f t="shared" si="9"/>
        <v>1078578.1506290999</v>
      </c>
      <c r="M19" s="1">
        <f t="shared" si="10"/>
        <v>2292307.419303</v>
      </c>
      <c r="N19" s="1">
        <f t="shared" si="11"/>
        <v>1745830.2195436999</v>
      </c>
      <c r="O19" s="1">
        <f t="shared" si="12"/>
        <v>4189366.2739230003</v>
      </c>
      <c r="P19" s="1">
        <f t="shared" si="13"/>
        <v>75978.336649999983</v>
      </c>
      <c r="Q19" s="1">
        <f t="shared" si="14"/>
        <v>182320.75350000002</v>
      </c>
    </row>
    <row r="20" spans="2:17" x14ac:dyDescent="0.3">
      <c r="B20" s="1">
        <v>109560.68799999999</v>
      </c>
      <c r="C20" s="1">
        <v>279668.07199999999</v>
      </c>
      <c r="D20" s="1">
        <v>1.4153420000000001</v>
      </c>
      <c r="E20" s="1">
        <v>3.1259730000000001</v>
      </c>
      <c r="F20" s="1">
        <f t="shared" si="5"/>
        <v>155065.84327529601</v>
      </c>
      <c r="G20">
        <f t="shared" si="6"/>
        <v>874234.84203405597</v>
      </c>
      <c r="H20" s="1">
        <v>4.6619190000000001</v>
      </c>
      <c r="I20" s="1">
        <v>6.5617999999999999</v>
      </c>
      <c r="J20" s="1">
        <f t="shared" si="7"/>
        <v>510763.05304027197</v>
      </c>
      <c r="K20" s="1">
        <f t="shared" si="8"/>
        <v>1835125.9548495999</v>
      </c>
      <c r="L20" s="1">
        <f t="shared" si="9"/>
        <v>255381.52652013599</v>
      </c>
      <c r="M20" s="1">
        <f t="shared" si="10"/>
        <v>917562.97742479993</v>
      </c>
      <c r="N20" s="1">
        <f t="shared" si="11"/>
        <v>410447.36979543197</v>
      </c>
      <c r="O20" s="1">
        <f t="shared" si="12"/>
        <v>1791797.8194588558</v>
      </c>
      <c r="P20" s="1">
        <f t="shared" si="13"/>
        <v>28471.8914</v>
      </c>
      <c r="Q20" s="1">
        <f t="shared" si="14"/>
        <v>124293.33619999998</v>
      </c>
    </row>
    <row r="21" spans="2:17" x14ac:dyDescent="0.3">
      <c r="B21" s="1">
        <v>195605.15100000001</v>
      </c>
      <c r="C21" s="1">
        <v>420020.36300000001</v>
      </c>
      <c r="D21" s="1">
        <v>2.6393599999999999</v>
      </c>
      <c r="E21" s="1">
        <v>5.5348119999999996</v>
      </c>
      <c r="F21" s="1">
        <f t="shared" si="5"/>
        <v>516272.41134336003</v>
      </c>
      <c r="G21">
        <f t="shared" si="6"/>
        <v>2324733.7453767559</v>
      </c>
      <c r="H21" s="1">
        <v>4.4663550000000001</v>
      </c>
      <c r="I21" s="1">
        <v>7.1172110000000002</v>
      </c>
      <c r="J21" s="1">
        <f t="shared" si="7"/>
        <v>873642.04419460509</v>
      </c>
      <c r="K21" s="1">
        <f t="shared" si="8"/>
        <v>2989373.5477675931</v>
      </c>
      <c r="L21" s="1">
        <f t="shared" si="9"/>
        <v>436821.02209730254</v>
      </c>
      <c r="M21" s="1">
        <f t="shared" si="10"/>
        <v>1494686.7738837965</v>
      </c>
      <c r="N21" s="1">
        <f t="shared" si="11"/>
        <v>953093.43344066257</v>
      </c>
      <c r="O21" s="1">
        <f t="shared" si="12"/>
        <v>3819420.5192605527</v>
      </c>
      <c r="P21" s="1">
        <f t="shared" si="13"/>
        <v>62855.733750000007</v>
      </c>
      <c r="Q21" s="1">
        <f t="shared" si="14"/>
        <v>251887.66475</v>
      </c>
    </row>
    <row r="24" spans="2:17" x14ac:dyDescent="0.3">
      <c r="B24" s="4"/>
      <c r="C24" s="2"/>
    </row>
    <row r="25" spans="2:17" x14ac:dyDescent="0.3">
      <c r="D25" s="6" t="s">
        <v>162</v>
      </c>
    </row>
    <row r="28" spans="2:17" ht="13.8" x14ac:dyDescent="0.3">
      <c r="D28" s="1" t="s">
        <v>216</v>
      </c>
      <c r="E28" s="1" t="s">
        <v>217</v>
      </c>
      <c r="F28" s="1" t="s">
        <v>88</v>
      </c>
      <c r="G28" s="1" t="s">
        <v>218</v>
      </c>
      <c r="H28" s="1" t="s">
        <v>219</v>
      </c>
      <c r="I28" s="1" t="s">
        <v>220</v>
      </c>
      <c r="J28" s="1" t="s">
        <v>238</v>
      </c>
    </row>
    <row r="29" spans="2:17" x14ac:dyDescent="0.3">
      <c r="D29" s="1">
        <v>26178.676268317999</v>
      </c>
      <c r="E29" s="1">
        <v>95123.094656896006</v>
      </c>
      <c r="F29">
        <v>382051</v>
      </c>
      <c r="G29">
        <f>D29*0.412*365.24/8765.82*0.01</f>
        <v>4.4939753323009963</v>
      </c>
      <c r="H29">
        <f>E29*0.412*365.24/8765.82*0.01</f>
        <v>16.329352811378396</v>
      </c>
      <c r="I29" s="1">
        <f>G29/F29*100000</f>
        <v>1.1762762909404756</v>
      </c>
      <c r="J29" s="1">
        <f>H29/F29*100000</f>
        <v>4.2741290590466701</v>
      </c>
    </row>
    <row r="30" spans="2:17" x14ac:dyDescent="0.3">
      <c r="D30" s="1">
        <v>2909794.3808820844</v>
      </c>
      <c r="E30" s="1">
        <v>6608697.9814295461</v>
      </c>
      <c r="F30">
        <v>2866911</v>
      </c>
      <c r="G30">
        <f t="shared" ref="G30:G36" si="15">D30*0.412*365.24/8765.82*0.01</f>
        <v>499.5112829894174</v>
      </c>
      <c r="H30">
        <f t="shared" ref="H30:H36" si="16">E30*0.412*365.24/8765.82*0.01</f>
        <v>1134.4853881368531</v>
      </c>
      <c r="I30" s="1">
        <f t="shared" ref="I30:I36" si="17">G30/F30*100000</f>
        <v>17.423327162559893</v>
      </c>
      <c r="J30" s="1">
        <f t="shared" ref="J30:J36" si="18">H30/F30*100000</f>
        <v>39.571698882066904</v>
      </c>
    </row>
    <row r="31" spans="2:17" x14ac:dyDescent="0.3">
      <c r="D31" s="1">
        <v>1781324.0104671195</v>
      </c>
      <c r="E31" s="1">
        <v>4206343.0608326402</v>
      </c>
      <c r="F31">
        <v>2573135</v>
      </c>
      <c r="G31">
        <f t="shared" si="15"/>
        <v>305.79186204165774</v>
      </c>
      <c r="H31">
        <f t="shared" si="16"/>
        <v>722.08394957900998</v>
      </c>
      <c r="I31" s="1">
        <f t="shared" si="17"/>
        <v>11.884019378760062</v>
      </c>
      <c r="J31" s="1">
        <f t="shared" si="18"/>
        <v>28.062419949944719</v>
      </c>
    </row>
    <row r="32" spans="2:17" x14ac:dyDescent="0.3">
      <c r="D32" s="1">
        <v>1535776.4608571001</v>
      </c>
      <c r="E32" s="1">
        <v>4107203.46818446</v>
      </c>
      <c r="F32">
        <v>2601788</v>
      </c>
      <c r="G32">
        <f t="shared" si="15"/>
        <v>263.63982121483247</v>
      </c>
      <c r="H32">
        <f t="shared" si="16"/>
        <v>705.06510266525356</v>
      </c>
      <c r="I32" s="1">
        <f t="shared" si="17"/>
        <v>10.133024720493463</v>
      </c>
      <c r="J32" s="1">
        <f t="shared" si="18"/>
        <v>27.099252616479646</v>
      </c>
    </row>
    <row r="33" spans="4:14" x14ac:dyDescent="0.3">
      <c r="D33" s="1">
        <v>1267381.48271724</v>
      </c>
      <c r="E33" s="1">
        <v>3117129.7188217449</v>
      </c>
      <c r="F33">
        <v>2366354</v>
      </c>
      <c r="G33">
        <f t="shared" si="15"/>
        <v>217.56566533653398</v>
      </c>
      <c r="H33">
        <f t="shared" si="16"/>
        <v>535.1036057128839</v>
      </c>
      <c r="I33" s="1">
        <f t="shared" si="17"/>
        <v>9.1941300978861982</v>
      </c>
      <c r="J33" s="1">
        <f t="shared" si="18"/>
        <v>22.612998972803052</v>
      </c>
    </row>
    <row r="34" spans="4:14" x14ac:dyDescent="0.3">
      <c r="D34" s="1">
        <v>1745830.2195436999</v>
      </c>
      <c r="E34" s="1">
        <v>4189366.2739230003</v>
      </c>
      <c r="F34">
        <v>2297800</v>
      </c>
      <c r="G34">
        <f t="shared" si="15"/>
        <v>299.69880297232896</v>
      </c>
      <c r="H34">
        <f t="shared" si="16"/>
        <v>719.1696211075589</v>
      </c>
      <c r="I34" s="1">
        <f t="shared" si="17"/>
        <v>13.042858515637958</v>
      </c>
      <c r="J34" s="1">
        <f t="shared" si="18"/>
        <v>31.298181787255587</v>
      </c>
    </row>
    <row r="35" spans="4:14" x14ac:dyDescent="0.3">
      <c r="D35" s="1">
        <v>410447.36979543197</v>
      </c>
      <c r="E35" s="1">
        <v>1791797.8194588558</v>
      </c>
      <c r="F35">
        <v>1441588</v>
      </c>
      <c r="G35">
        <f t="shared" si="15"/>
        <v>70.459649531660958</v>
      </c>
      <c r="H35">
        <f t="shared" si="16"/>
        <v>307.58985361165395</v>
      </c>
      <c r="I35" s="1">
        <f t="shared" si="17"/>
        <v>4.8876412353363756</v>
      </c>
      <c r="J35" s="1">
        <f t="shared" si="18"/>
        <v>21.336876667373335</v>
      </c>
    </row>
    <row r="36" spans="4:14" x14ac:dyDescent="0.3">
      <c r="D36" s="1">
        <v>953093.43344066257</v>
      </c>
      <c r="E36" s="1">
        <v>3819420.5192605527</v>
      </c>
      <c r="F36">
        <v>1516319</v>
      </c>
      <c r="G36">
        <f t="shared" si="15"/>
        <v>163.61325283830314</v>
      </c>
      <c r="H36">
        <f t="shared" si="16"/>
        <v>655.66270125024982</v>
      </c>
      <c r="I36" s="1">
        <f t="shared" si="17"/>
        <v>10.790160437104801</v>
      </c>
      <c r="J36" s="1">
        <f t="shared" si="18"/>
        <v>43.240419809436524</v>
      </c>
    </row>
    <row r="38" spans="4:14" x14ac:dyDescent="0.3">
      <c r="D38" s="6" t="s">
        <v>163</v>
      </c>
    </row>
    <row r="39" spans="4:14" x14ac:dyDescent="0.3">
      <c r="D39" s="6" t="s">
        <v>164</v>
      </c>
    </row>
    <row r="41" spans="4:14" ht="13.8" x14ac:dyDescent="0.3">
      <c r="D41" s="1" t="s">
        <v>216</v>
      </c>
      <c r="E41" s="1" t="s">
        <v>217</v>
      </c>
      <c r="F41" s="1" t="s">
        <v>88</v>
      </c>
      <c r="G41" s="1" t="s">
        <v>239</v>
      </c>
      <c r="H41" s="1" t="s">
        <v>240</v>
      </c>
      <c r="I41" s="1" t="s">
        <v>241</v>
      </c>
      <c r="J41" s="1" t="s">
        <v>242</v>
      </c>
      <c r="K41" s="1" t="s">
        <v>226</v>
      </c>
      <c r="L41" s="1" t="s">
        <v>227</v>
      </c>
      <c r="M41" s="1" t="s">
        <v>228</v>
      </c>
      <c r="N41" s="1" t="s">
        <v>229</v>
      </c>
    </row>
    <row r="42" spans="4:14" x14ac:dyDescent="0.3">
      <c r="D42" s="1">
        <v>26178.676268317999</v>
      </c>
      <c r="E42" s="1">
        <v>95123.094656896006</v>
      </c>
      <c r="F42">
        <v>382051</v>
      </c>
      <c r="G42">
        <f>D42*0.189*55.2/365.24*0.01</f>
        <v>7.477737755232396</v>
      </c>
      <c r="H42" s="1">
        <f>E42*0.189*55.2/365.24*0.01</f>
        <v>27.171181194186421</v>
      </c>
      <c r="I42" s="1">
        <f>D42*0.189*310.04/8765.82*0.01</f>
        <v>1.7499863713301667</v>
      </c>
      <c r="J42" s="1">
        <f>E42*0.189*310.04/8765.82*0.01</f>
        <v>6.3587676298887539</v>
      </c>
      <c r="K42" s="1">
        <f>G42+I42</f>
        <v>9.2277241265625634</v>
      </c>
      <c r="L42" s="1">
        <f>H42+J42</f>
        <v>33.529948824075177</v>
      </c>
      <c r="M42" s="1">
        <f>K42/F42*100000</f>
        <v>2.4153121249682798</v>
      </c>
      <c r="N42" s="1">
        <f>L42/F42*100000</f>
        <v>8.7763018089404756</v>
      </c>
    </row>
    <row r="43" spans="4:14" x14ac:dyDescent="0.3">
      <c r="D43" s="1">
        <v>2909794.3808820844</v>
      </c>
      <c r="E43" s="1">
        <v>6608697.9814295461</v>
      </c>
      <c r="F43">
        <v>2866911</v>
      </c>
      <c r="G43">
        <f t="shared" ref="G43:G49" si="19">D43*0.189*55.2/365.24*0.01</f>
        <v>831.16041005548698</v>
      </c>
      <c r="H43" s="1">
        <f t="shared" ref="H43:H49" si="20">E43*0.189*55.2/365.24*0.01</f>
        <v>1887.7238062823942</v>
      </c>
      <c r="I43" s="1">
        <f t="shared" ref="I43:I49" si="21">D43*0.189*310.04/8765.82*0.01</f>
        <v>194.51329233477395</v>
      </c>
      <c r="J43" s="1">
        <f t="shared" ref="J43:J49" si="22">E43*0.189*310.04/8765.82*0.01</f>
        <v>441.77678356240119</v>
      </c>
      <c r="K43" s="1">
        <f t="shared" ref="K43:K49" si="23">G43+I43</f>
        <v>1025.673702390261</v>
      </c>
      <c r="L43" s="1">
        <f t="shared" ref="L43:L49" si="24">H43+J43</f>
        <v>2329.5005898447953</v>
      </c>
      <c r="M43" s="1">
        <f t="shared" ref="M43:M49" si="25">K43/F43*100000</f>
        <v>35.776265896997188</v>
      </c>
      <c r="N43" s="1">
        <f t="shared" ref="N43:N49" si="26">L43/F43*100000</f>
        <v>81.254722935061295</v>
      </c>
    </row>
    <row r="44" spans="4:14" x14ac:dyDescent="0.3">
      <c r="D44" s="1">
        <v>1781324.0104671195</v>
      </c>
      <c r="E44" s="1">
        <v>4206343.0608326402</v>
      </c>
      <c r="F44">
        <v>2573135</v>
      </c>
      <c r="G44">
        <f t="shared" si="19"/>
        <v>508.8215183550916</v>
      </c>
      <c r="H44" s="1">
        <f t="shared" si="20"/>
        <v>1201.509579593001</v>
      </c>
      <c r="I44" s="1">
        <f t="shared" si="21"/>
        <v>119.07755416240315</v>
      </c>
      <c r="J44" s="1">
        <f t="shared" si="22"/>
        <v>281.18469223384039</v>
      </c>
      <c r="K44" s="1">
        <f t="shared" si="23"/>
        <v>627.89907251749469</v>
      </c>
      <c r="L44" s="1">
        <f t="shared" si="24"/>
        <v>1482.6942718268415</v>
      </c>
      <c r="M44" s="1">
        <f t="shared" si="25"/>
        <v>24.402103757381354</v>
      </c>
      <c r="N44" s="1">
        <f t="shared" si="26"/>
        <v>57.622094131354999</v>
      </c>
    </row>
    <row r="45" spans="4:14" x14ac:dyDescent="0.3">
      <c r="D45" s="1">
        <v>1535776.4608571001</v>
      </c>
      <c r="E45" s="1">
        <v>4107203.46818446</v>
      </c>
      <c r="F45">
        <v>2601788</v>
      </c>
      <c r="G45">
        <f t="shared" si="19"/>
        <v>438.68274725741855</v>
      </c>
      <c r="H45" s="1">
        <f t="shared" si="20"/>
        <v>1173.1911166048305</v>
      </c>
      <c r="I45" s="1">
        <f t="shared" si="21"/>
        <v>102.66324577924438</v>
      </c>
      <c r="J45" s="1">
        <f t="shared" si="22"/>
        <v>274.55743063301207</v>
      </c>
      <c r="K45" s="1">
        <f t="shared" si="23"/>
        <v>541.34599303666289</v>
      </c>
      <c r="L45" s="1">
        <f t="shared" si="24"/>
        <v>1447.7485472378426</v>
      </c>
      <c r="M45" s="1">
        <f t="shared" si="25"/>
        <v>20.806691130740202</v>
      </c>
      <c r="N45" s="1">
        <f t="shared" si="26"/>
        <v>55.644370226853326</v>
      </c>
    </row>
    <row r="46" spans="4:14" x14ac:dyDescent="0.3">
      <c r="D46" s="1">
        <v>1267381.48271724</v>
      </c>
      <c r="E46" s="1">
        <v>3117129.7188217449</v>
      </c>
      <c r="F46">
        <v>2366354</v>
      </c>
      <c r="G46">
        <f t="shared" si="19"/>
        <v>362.01778372829983</v>
      </c>
      <c r="H46" s="1">
        <f t="shared" si="20"/>
        <v>890.38415645941029</v>
      </c>
      <c r="I46" s="1">
        <f t="shared" si="21"/>
        <v>84.721637538088217</v>
      </c>
      <c r="J46" s="1">
        <f t="shared" si="22"/>
        <v>208.37319922886888</v>
      </c>
      <c r="K46" s="1">
        <f t="shared" si="23"/>
        <v>446.73942126638804</v>
      </c>
      <c r="L46" s="1">
        <f t="shared" si="24"/>
        <v>1098.7573556882792</v>
      </c>
      <c r="M46" s="1">
        <f t="shared" si="25"/>
        <v>18.8788077044427</v>
      </c>
      <c r="N46" s="1">
        <f t="shared" si="26"/>
        <v>46.432501463782643</v>
      </c>
    </row>
    <row r="47" spans="4:14" x14ac:dyDescent="0.3">
      <c r="D47" s="1">
        <v>1745830.2195436999</v>
      </c>
      <c r="E47" s="1">
        <v>4189366.2739230003</v>
      </c>
      <c r="F47">
        <v>2297800</v>
      </c>
      <c r="G47">
        <f t="shared" si="19"/>
        <v>498.68298966311227</v>
      </c>
      <c r="H47" s="1">
        <f t="shared" si="20"/>
        <v>1196.6602908384591</v>
      </c>
      <c r="I47" s="1">
        <f t="shared" si="21"/>
        <v>116.70487306324465</v>
      </c>
      <c r="J47" s="1">
        <f t="shared" si="22"/>
        <v>280.04983173072168</v>
      </c>
      <c r="K47" s="1">
        <f t="shared" si="23"/>
        <v>615.38786272635696</v>
      </c>
      <c r="L47" s="1">
        <f t="shared" si="24"/>
        <v>1476.7101225691808</v>
      </c>
      <c r="M47" s="1">
        <f t="shared" si="25"/>
        <v>26.781611224926319</v>
      </c>
      <c r="N47" s="1">
        <f t="shared" si="26"/>
        <v>64.266260012585121</v>
      </c>
    </row>
    <row r="48" spans="4:14" x14ac:dyDescent="0.3">
      <c r="D48" s="1">
        <v>410447.36979543197</v>
      </c>
      <c r="E48" s="1">
        <v>1791797.8194588558</v>
      </c>
      <c r="F48">
        <v>1441588</v>
      </c>
      <c r="G48">
        <f t="shared" si="19"/>
        <v>117.24113787103774</v>
      </c>
      <c r="H48" s="1">
        <f t="shared" si="20"/>
        <v>511.81328142729035</v>
      </c>
      <c r="I48" s="1">
        <f t="shared" si="21"/>
        <v>27.437495155535952</v>
      </c>
      <c r="J48" s="1">
        <f t="shared" si="22"/>
        <v>119.7777050334247</v>
      </c>
      <c r="K48" s="1">
        <f t="shared" si="23"/>
        <v>144.67863302657369</v>
      </c>
      <c r="L48" s="1">
        <f t="shared" si="24"/>
        <v>631.59098646071504</v>
      </c>
      <c r="M48" s="1">
        <f t="shared" si="25"/>
        <v>10.036059749843485</v>
      </c>
      <c r="N48" s="1">
        <f t="shared" si="26"/>
        <v>43.812170083318883</v>
      </c>
    </row>
    <row r="49" spans="4:14" x14ac:dyDescent="0.3">
      <c r="D49" s="1">
        <v>953093.43344066257</v>
      </c>
      <c r="E49" s="1">
        <v>3819420.5192605527</v>
      </c>
      <c r="F49">
        <v>1516319</v>
      </c>
      <c r="G49">
        <f t="shared" si="19"/>
        <v>272.24381700798779</v>
      </c>
      <c r="H49" s="1">
        <f t="shared" si="20"/>
        <v>1090.9881281716541</v>
      </c>
      <c r="I49" s="1">
        <f t="shared" si="21"/>
        <v>63.712179410078278</v>
      </c>
      <c r="J49" s="1">
        <f t="shared" si="22"/>
        <v>255.31977960145363</v>
      </c>
      <c r="K49" s="1">
        <f t="shared" si="23"/>
        <v>335.95599641806609</v>
      </c>
      <c r="L49" s="1">
        <f t="shared" si="24"/>
        <v>1346.3079077731077</v>
      </c>
      <c r="M49" s="1">
        <f t="shared" si="25"/>
        <v>22.156023661120521</v>
      </c>
      <c r="N49" s="1">
        <f t="shared" si="26"/>
        <v>88.787907278950385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52C60-DBEA-4D9D-9782-BF1BCC2FC9C8}">
  <dimension ref="A1:N49"/>
  <sheetViews>
    <sheetView tabSelected="1" zoomScale="78" zoomScaleNormal="100" workbookViewId="0">
      <selection activeCell="N9" sqref="N9"/>
    </sheetView>
  </sheetViews>
  <sheetFormatPr defaultRowHeight="13.8" x14ac:dyDescent="0.3"/>
  <cols>
    <col min="1" max="1" width="11.44140625" style="1" customWidth="1"/>
    <col min="2" max="2" width="23.77734375" style="1" bestFit="1" customWidth="1"/>
    <col min="3" max="3" width="19.77734375" style="1" customWidth="1"/>
    <col min="4" max="4" width="21.109375" style="1" bestFit="1" customWidth="1"/>
    <col min="5" max="5" width="15.44140625" style="1" bestFit="1" customWidth="1"/>
    <col min="6" max="7" width="8.88671875" style="1"/>
    <col min="8" max="8" width="9.77734375" style="1" bestFit="1" customWidth="1"/>
    <col min="9" max="9" width="23.77734375" style="1" customWidth="1"/>
    <col min="10" max="10" width="31.21875" style="1" customWidth="1"/>
    <col min="11" max="11" width="29.77734375" style="1" customWidth="1"/>
    <col min="12" max="12" width="16.5546875" style="1" customWidth="1"/>
    <col min="13" max="13" width="21.109375" style="1" bestFit="1" customWidth="1"/>
    <col min="14" max="14" width="15.44140625" style="1" bestFit="1" customWidth="1"/>
    <col min="15" max="16384" width="8.88671875" style="1"/>
  </cols>
  <sheetData>
    <row r="1" spans="1:14" x14ac:dyDescent="0.3">
      <c r="A1" s="6" t="s">
        <v>82</v>
      </c>
    </row>
    <row r="2" spans="1:14" x14ac:dyDescent="0.3">
      <c r="A2" s="6" t="s">
        <v>83</v>
      </c>
    </row>
    <row r="3" spans="1:14" x14ac:dyDescent="0.3">
      <c r="A3" s="6"/>
    </row>
    <row r="4" spans="1:14" x14ac:dyDescent="0.3">
      <c r="B4" s="1" t="s">
        <v>84</v>
      </c>
      <c r="E4" s="1" t="s">
        <v>85</v>
      </c>
      <c r="J4" s="1" t="s">
        <v>86</v>
      </c>
    </row>
    <row r="5" spans="1:14" x14ac:dyDescent="0.3">
      <c r="B5" s="6" t="s">
        <v>162</v>
      </c>
      <c r="I5" s="6" t="s">
        <v>163</v>
      </c>
      <c r="K5" s="7">
        <v>310.04000000000002</v>
      </c>
    </row>
    <row r="6" spans="1:14" x14ac:dyDescent="0.3">
      <c r="I6" s="6" t="s">
        <v>164</v>
      </c>
    </row>
    <row r="8" spans="1:14" x14ac:dyDescent="0.3">
      <c r="A8" s="1" t="s">
        <v>1</v>
      </c>
      <c r="B8" s="1" t="s">
        <v>87</v>
      </c>
      <c r="C8" s="1" t="s">
        <v>84</v>
      </c>
      <c r="D8" s="1" t="s">
        <v>88</v>
      </c>
      <c r="E8" s="1" t="s">
        <v>89</v>
      </c>
      <c r="H8" s="1" t="s">
        <v>1</v>
      </c>
      <c r="I8" s="1" t="s">
        <v>87</v>
      </c>
      <c r="J8" s="1" t="s">
        <v>90</v>
      </c>
      <c r="K8" s="1" t="s">
        <v>91</v>
      </c>
      <c r="L8" s="1" t="s">
        <v>92</v>
      </c>
      <c r="M8" s="1" t="s">
        <v>88</v>
      </c>
      <c r="N8" s="1" t="s">
        <v>89</v>
      </c>
    </row>
    <row r="9" spans="1:14" ht="14.4" x14ac:dyDescent="0.3">
      <c r="A9" s="1">
        <v>12</v>
      </c>
      <c r="B9" s="1">
        <v>48403.851040377005</v>
      </c>
      <c r="C9" s="1">
        <f>B9*0.412*365.24/8765.82*0.01</f>
        <v>8.3092708865146285</v>
      </c>
      <c r="D9">
        <v>382051</v>
      </c>
      <c r="E9" s="1">
        <f>C9/D9*100000</f>
        <v>2.1749114349954923</v>
      </c>
      <c r="H9" s="1">
        <v>14</v>
      </c>
      <c r="I9" s="1">
        <v>48403.851040377005</v>
      </c>
      <c r="J9" s="1">
        <f>I9*0.189*55.2/365.24*0.01</f>
        <v>13.82618818130668</v>
      </c>
      <c r="K9" s="1">
        <f>I9*0.189*310.04/8765.82*0.01</f>
        <v>3.2356899475115326</v>
      </c>
      <c r="L9" s="1">
        <f t="shared" ref="L9:L16" si="0">J9+K9</f>
        <v>17.061878128818211</v>
      </c>
      <c r="M9">
        <v>356637</v>
      </c>
      <c r="N9" s="1">
        <f>L9/M9*100000</f>
        <v>4.7841020782527366</v>
      </c>
    </row>
    <row r="10" spans="1:14" ht="14.4" x14ac:dyDescent="0.3">
      <c r="A10" s="1" t="s">
        <v>10</v>
      </c>
      <c r="B10" s="1">
        <v>4484355.5305192498</v>
      </c>
      <c r="C10" s="1">
        <f t="shared" ref="C10:C16" si="1">B10*0.412*365.24/8765.82*0.01</f>
        <v>769.80909687210385</v>
      </c>
      <c r="D10">
        <v>2866911</v>
      </c>
      <c r="E10" s="1">
        <f t="shared" ref="E10:E16" si="2">C10/D10*100000</f>
        <v>26.85151708135006</v>
      </c>
      <c r="H10" s="1" t="s">
        <v>10</v>
      </c>
      <c r="I10" s="1">
        <v>4484355.5305192498</v>
      </c>
      <c r="J10" s="1">
        <f t="shared" ref="J10:J16" si="3">I10*0.189*55.2/365.24*0.01</f>
        <v>1280.9217056949194</v>
      </c>
      <c r="K10" s="1">
        <f t="shared" ref="K10:K16" si="4">I10*0.189*310.04/8765.82*0.01</f>
        <v>299.76920842651754</v>
      </c>
      <c r="L10" s="1">
        <f t="shared" si="0"/>
        <v>1580.6909141214369</v>
      </c>
      <c r="M10">
        <v>2866911</v>
      </c>
      <c r="N10" s="1">
        <f t="shared" ref="N10:N16" si="5">L10/M10*100000</f>
        <v>55.135681369998473</v>
      </c>
    </row>
    <row r="11" spans="1:14" ht="14.4" x14ac:dyDescent="0.3">
      <c r="A11" s="1" t="s">
        <v>13</v>
      </c>
      <c r="B11" s="1">
        <v>2781815.5074371197</v>
      </c>
      <c r="C11" s="1">
        <f t="shared" si="1"/>
        <v>477.54172675889924</v>
      </c>
      <c r="D11">
        <v>2573135</v>
      </c>
      <c r="E11" s="1">
        <f t="shared" si="2"/>
        <v>18.55875135812537</v>
      </c>
      <c r="H11" s="1" t="s">
        <v>13</v>
      </c>
      <c r="I11" s="1">
        <v>2781815.5074371197</v>
      </c>
      <c r="J11" s="1">
        <f t="shared" si="3"/>
        <v>794.60422806894064</v>
      </c>
      <c r="K11" s="1">
        <f t="shared" si="4"/>
        <v>185.95818885851762</v>
      </c>
      <c r="L11" s="1">
        <f t="shared" si="0"/>
        <v>980.56241692745823</v>
      </c>
      <c r="M11">
        <v>2573135</v>
      </c>
      <c r="N11" s="1">
        <f t="shared" si="5"/>
        <v>38.107694191228141</v>
      </c>
    </row>
    <row r="12" spans="1:14" ht="14.4" x14ac:dyDescent="0.3">
      <c r="A12" s="1" t="s">
        <v>16</v>
      </c>
      <c r="B12" s="1">
        <v>2562527.7996164002</v>
      </c>
      <c r="C12" s="1">
        <f t="shared" si="1"/>
        <v>439.89759458343923</v>
      </c>
      <c r="D12">
        <v>2601788</v>
      </c>
      <c r="E12" s="1">
        <f t="shared" si="2"/>
        <v>16.907511087891834</v>
      </c>
      <c r="H12" s="1" t="s">
        <v>16</v>
      </c>
      <c r="I12" s="1">
        <v>2562527.7996164002</v>
      </c>
      <c r="J12" s="1">
        <f t="shared" si="3"/>
        <v>731.96637903400449</v>
      </c>
      <c r="K12" s="1">
        <f t="shared" si="4"/>
        <v>171.29929258151549</v>
      </c>
      <c r="L12" s="1">
        <f t="shared" si="0"/>
        <v>903.26567161551998</v>
      </c>
      <c r="M12">
        <v>2601788</v>
      </c>
      <c r="N12" s="1">
        <f t="shared" si="5"/>
        <v>34.7171126784934</v>
      </c>
    </row>
    <row r="13" spans="1:14" ht="14.4" x14ac:dyDescent="0.3">
      <c r="A13" s="1" t="s">
        <v>19</v>
      </c>
      <c r="B13" s="1">
        <v>2022365.086533918</v>
      </c>
      <c r="C13" s="1">
        <f t="shared" si="1"/>
        <v>347.17029687208617</v>
      </c>
      <c r="D13">
        <v>2366354</v>
      </c>
      <c r="E13" s="1">
        <f t="shared" si="2"/>
        <v>14.671105712504815</v>
      </c>
      <c r="H13" s="1" t="s">
        <v>19</v>
      </c>
      <c r="I13" s="1">
        <v>2022365.086533918</v>
      </c>
      <c r="J13" s="1">
        <f t="shared" si="3"/>
        <v>577.67304990666582</v>
      </c>
      <c r="K13" s="1">
        <f t="shared" si="4"/>
        <v>135.19061479710564</v>
      </c>
      <c r="L13" s="1">
        <f t="shared" si="0"/>
        <v>712.86366470377152</v>
      </c>
      <c r="M13">
        <v>2366354</v>
      </c>
      <c r="N13" s="1">
        <f t="shared" si="5"/>
        <v>30.124979808759445</v>
      </c>
    </row>
    <row r="14" spans="1:14" ht="14.4" x14ac:dyDescent="0.3">
      <c r="A14" s="1" t="s">
        <v>22</v>
      </c>
      <c r="B14" s="1">
        <v>2770155.5842272001</v>
      </c>
      <c r="C14" s="1">
        <f t="shared" si="1"/>
        <v>475.5401203084877</v>
      </c>
      <c r="D14">
        <v>2297800</v>
      </c>
      <c r="E14" s="1">
        <f t="shared" si="2"/>
        <v>20.695453055465563</v>
      </c>
      <c r="H14" s="1" t="s">
        <v>22</v>
      </c>
      <c r="I14" s="1">
        <v>2770155.5842272001</v>
      </c>
      <c r="J14" s="1">
        <f t="shared" si="3"/>
        <v>791.27366058278221</v>
      </c>
      <c r="K14" s="1">
        <f t="shared" si="4"/>
        <v>185.17874888611496</v>
      </c>
      <c r="L14" s="1">
        <f t="shared" si="0"/>
        <v>976.45240946889714</v>
      </c>
      <c r="M14">
        <v>2297800</v>
      </c>
      <c r="N14" s="1">
        <f t="shared" si="5"/>
        <v>42.495100072630215</v>
      </c>
    </row>
    <row r="15" spans="1:14" ht="14.4" x14ac:dyDescent="0.3">
      <c r="A15" s="1" t="s">
        <v>25</v>
      </c>
      <c r="B15" s="1">
        <v>907474.92624088796</v>
      </c>
      <c r="C15" s="1">
        <f t="shared" si="1"/>
        <v>155.78212937159492</v>
      </c>
      <c r="D15">
        <v>1441588</v>
      </c>
      <c r="E15" s="1">
        <f t="shared" si="2"/>
        <v>10.80628649597492</v>
      </c>
      <c r="H15" s="1" t="s">
        <v>25</v>
      </c>
      <c r="I15" s="1">
        <v>907474.92624088796</v>
      </c>
      <c r="J15" s="1">
        <f t="shared" si="3"/>
        <v>259.21324089601183</v>
      </c>
      <c r="K15" s="1">
        <f t="shared" si="4"/>
        <v>60.662683512661701</v>
      </c>
      <c r="L15" s="1">
        <f t="shared" si="0"/>
        <v>319.87592440867354</v>
      </c>
      <c r="M15">
        <v>1441588</v>
      </c>
      <c r="N15" s="1">
        <f t="shared" si="5"/>
        <v>22.189136175431091</v>
      </c>
    </row>
    <row r="16" spans="1:14" ht="14.4" x14ac:dyDescent="0.3">
      <c r="A16" s="1" t="s">
        <v>28</v>
      </c>
      <c r="B16" s="1">
        <v>2043565.3417457426</v>
      </c>
      <c r="C16" s="1">
        <f t="shared" si="1"/>
        <v>350.80964910609231</v>
      </c>
      <c r="D16">
        <v>1516319</v>
      </c>
      <c r="E16" s="1">
        <f t="shared" si="2"/>
        <v>23.135609928128073</v>
      </c>
      <c r="H16" s="1" t="s">
        <v>28</v>
      </c>
      <c r="I16" s="1">
        <v>2043565.3417457426</v>
      </c>
      <c r="J16" s="1">
        <f t="shared" si="3"/>
        <v>583.72873993442624</v>
      </c>
      <c r="K16" s="1">
        <f t="shared" si="4"/>
        <v>136.60780477681115</v>
      </c>
      <c r="L16" s="1">
        <f t="shared" si="0"/>
        <v>720.33654471123737</v>
      </c>
      <c r="M16">
        <v>1516319</v>
      </c>
      <c r="N16" s="1">
        <f t="shared" si="5"/>
        <v>47.505606980538879</v>
      </c>
    </row>
    <row r="19" spans="1:12" x14ac:dyDescent="0.3">
      <c r="A19" s="6" t="s">
        <v>93</v>
      </c>
      <c r="E19" s="8" t="s">
        <v>94</v>
      </c>
      <c r="H19" s="6" t="s">
        <v>93</v>
      </c>
      <c r="K19" s="6" t="s">
        <v>95</v>
      </c>
    </row>
    <row r="20" spans="1:12" x14ac:dyDescent="0.3">
      <c r="A20" s="1" t="s">
        <v>1</v>
      </c>
      <c r="B20" s="1" t="s">
        <v>4</v>
      </c>
      <c r="C20" s="1" t="s">
        <v>96</v>
      </c>
      <c r="D20" s="1" t="s">
        <v>88</v>
      </c>
      <c r="E20" s="1" t="s">
        <v>89</v>
      </c>
      <c r="H20" s="1" t="s">
        <v>1</v>
      </c>
      <c r="I20" s="1" t="s">
        <v>4</v>
      </c>
      <c r="J20" s="1" t="s">
        <v>97</v>
      </c>
      <c r="K20" s="1" t="s">
        <v>88</v>
      </c>
      <c r="L20" s="1" t="s">
        <v>89</v>
      </c>
    </row>
    <row r="21" spans="1:12" ht="14.4" x14ac:dyDescent="0.3">
      <c r="A21" s="1">
        <v>14</v>
      </c>
      <c r="B21" s="1">
        <v>0</v>
      </c>
      <c r="C21" s="1">
        <v>0</v>
      </c>
      <c r="D21">
        <v>382051</v>
      </c>
      <c r="H21" s="1">
        <v>14</v>
      </c>
      <c r="I21" s="1">
        <v>0</v>
      </c>
      <c r="J21" s="1">
        <v>0</v>
      </c>
      <c r="K21">
        <v>382051</v>
      </c>
    </row>
    <row r="22" spans="1:12" ht="14.4" x14ac:dyDescent="0.3">
      <c r="A22" s="1" t="s">
        <v>10</v>
      </c>
      <c r="B22" s="1">
        <v>1490793.72</v>
      </c>
      <c r="C22" s="1">
        <f>B22*1*0.007</f>
        <v>10435.556039999999</v>
      </c>
      <c r="D22">
        <v>2866911</v>
      </c>
      <c r="E22" s="1">
        <f>C22/D22*100000</f>
        <v>364</v>
      </c>
      <c r="H22" s="1" t="s">
        <v>10</v>
      </c>
      <c r="I22" s="1">
        <v>0</v>
      </c>
      <c r="J22" s="1">
        <v>0</v>
      </c>
      <c r="K22">
        <v>2866911</v>
      </c>
    </row>
    <row r="23" spans="1:12" ht="14.4" x14ac:dyDescent="0.3">
      <c r="A23" s="1" t="s">
        <v>13</v>
      </c>
      <c r="B23" s="1">
        <v>1464113.8149999999</v>
      </c>
      <c r="C23" s="1">
        <f t="shared" ref="C23:C28" si="6">B23*1*0.007</f>
        <v>10248.796705000001</v>
      </c>
      <c r="D23">
        <v>2573135</v>
      </c>
      <c r="E23" s="1">
        <f t="shared" ref="E23:E28" si="7">C23/D23*100000</f>
        <v>398.30000000000007</v>
      </c>
      <c r="H23" s="1" t="s">
        <v>13</v>
      </c>
      <c r="I23" s="1">
        <v>36023.889999999992</v>
      </c>
      <c r="J23" s="1">
        <f>I23*1*0.067</f>
        <v>2413.6006299999995</v>
      </c>
      <c r="K23">
        <v>2573135</v>
      </c>
      <c r="L23" s="1">
        <f>J23/K23*100000</f>
        <v>93.799999999999983</v>
      </c>
    </row>
    <row r="24" spans="1:12" ht="14.4" x14ac:dyDescent="0.3">
      <c r="A24" s="1" t="s">
        <v>16</v>
      </c>
      <c r="B24" s="1">
        <v>2536743.3000000003</v>
      </c>
      <c r="C24" s="1">
        <f t="shared" si="6"/>
        <v>17757.203100000002</v>
      </c>
      <c r="D24">
        <v>2601788</v>
      </c>
      <c r="E24" s="1">
        <f t="shared" si="7"/>
        <v>682.50000000000011</v>
      </c>
      <c r="H24" s="1" t="s">
        <v>16</v>
      </c>
      <c r="I24" s="1">
        <v>309612.772</v>
      </c>
      <c r="J24" s="1">
        <f t="shared" ref="J24:J28" si="8">I24*1*0.067</f>
        <v>20744.055724000002</v>
      </c>
      <c r="K24">
        <v>2601788</v>
      </c>
      <c r="L24" s="1">
        <f t="shared" ref="L24:L28" si="9">J24/K24*100000</f>
        <v>797.30000000000007</v>
      </c>
    </row>
    <row r="25" spans="1:12" ht="14.4" x14ac:dyDescent="0.3">
      <c r="A25" s="1" t="s">
        <v>19</v>
      </c>
      <c r="B25" s="1">
        <v>1455307.71</v>
      </c>
      <c r="C25" s="1">
        <f t="shared" si="6"/>
        <v>10187.153969999999</v>
      </c>
      <c r="D25">
        <v>2366354</v>
      </c>
      <c r="E25" s="1">
        <f t="shared" si="7"/>
        <v>430.5</v>
      </c>
      <c r="H25" s="1" t="s">
        <v>19</v>
      </c>
      <c r="I25" s="1">
        <v>321824.14400000003</v>
      </c>
      <c r="J25" s="1">
        <f t="shared" si="8"/>
        <v>21562.217648000002</v>
      </c>
      <c r="K25">
        <v>2366354</v>
      </c>
      <c r="L25" s="1">
        <f t="shared" si="9"/>
        <v>911.2</v>
      </c>
    </row>
    <row r="26" spans="1:12" ht="14.4" x14ac:dyDescent="0.3">
      <c r="A26" s="1" t="s">
        <v>22</v>
      </c>
      <c r="B26" s="9">
        <v>1916365.2000000002</v>
      </c>
      <c r="C26" s="1">
        <f t="shared" si="6"/>
        <v>13414.556400000001</v>
      </c>
      <c r="D26">
        <v>2297800</v>
      </c>
      <c r="E26" s="1">
        <f t="shared" si="7"/>
        <v>583.80000000000007</v>
      </c>
      <c r="F26" s="10"/>
      <c r="G26" s="10"/>
      <c r="H26" s="1" t="s">
        <v>22</v>
      </c>
      <c r="I26" s="9">
        <v>491729.19999999995</v>
      </c>
      <c r="J26" s="1">
        <f t="shared" si="8"/>
        <v>32945.856399999997</v>
      </c>
      <c r="K26">
        <v>2297800</v>
      </c>
      <c r="L26" s="1">
        <f t="shared" si="9"/>
        <v>1433.7999999999997</v>
      </c>
    </row>
    <row r="27" spans="1:12" ht="14.4" x14ac:dyDescent="0.3">
      <c r="A27" s="1" t="s">
        <v>25</v>
      </c>
      <c r="B27" s="9">
        <v>1131646.5799999998</v>
      </c>
      <c r="C27" s="1">
        <f t="shared" si="6"/>
        <v>7921.5260599999992</v>
      </c>
      <c r="D27">
        <v>1441588</v>
      </c>
      <c r="E27" s="1">
        <f t="shared" si="7"/>
        <v>549.5</v>
      </c>
      <c r="F27" s="10"/>
      <c r="G27" s="10"/>
      <c r="H27" s="1" t="s">
        <v>25</v>
      </c>
      <c r="I27" s="9">
        <v>645831.42399999988</v>
      </c>
      <c r="J27" s="1">
        <f t="shared" si="8"/>
        <v>43270.705407999994</v>
      </c>
      <c r="K27">
        <v>1441588</v>
      </c>
      <c r="L27" s="1">
        <f t="shared" si="9"/>
        <v>3001.6</v>
      </c>
    </row>
    <row r="28" spans="1:12" ht="14.4" x14ac:dyDescent="0.3">
      <c r="A28" s="1" t="s">
        <v>28</v>
      </c>
      <c r="B28" s="9">
        <v>1053841.7050000001</v>
      </c>
      <c r="C28" s="1">
        <f t="shared" si="6"/>
        <v>7376.8919350000006</v>
      </c>
      <c r="D28">
        <v>1516319</v>
      </c>
      <c r="E28" s="1">
        <f t="shared" si="7"/>
        <v>486.50000000000006</v>
      </c>
      <c r="F28" s="10"/>
      <c r="G28" s="10"/>
      <c r="H28" s="1" t="s">
        <v>28</v>
      </c>
      <c r="I28" s="9">
        <v>715702.56800000009</v>
      </c>
      <c r="J28" s="1">
        <f t="shared" si="8"/>
        <v>47952.072056000012</v>
      </c>
      <c r="K28">
        <v>1516319</v>
      </c>
      <c r="L28" s="1">
        <f t="shared" si="9"/>
        <v>3162.4000000000005</v>
      </c>
    </row>
    <row r="29" spans="1:12" ht="14.4" x14ac:dyDescent="0.3">
      <c r="B29"/>
      <c r="C29" s="11"/>
      <c r="D29" s="12"/>
      <c r="E29"/>
      <c r="F29" s="12"/>
      <c r="G29" s="12"/>
      <c r="H29" s="12"/>
    </row>
    <row r="30" spans="1:12" ht="14.4" x14ac:dyDescent="0.3">
      <c r="B30"/>
      <c r="C30"/>
      <c r="D30"/>
      <c r="E30"/>
      <c r="F30"/>
      <c r="G30"/>
      <c r="H30"/>
    </row>
    <row r="31" spans="1:12" ht="14.4" x14ac:dyDescent="0.3">
      <c r="B31"/>
      <c r="C31"/>
      <c r="D31"/>
      <c r="E31"/>
      <c r="F31"/>
      <c r="G31"/>
      <c r="H31"/>
    </row>
    <row r="32" spans="1:12" ht="14.4" x14ac:dyDescent="0.3">
      <c r="B32"/>
      <c r="C32"/>
      <c r="D32"/>
      <c r="E32"/>
      <c r="F32"/>
      <c r="G32"/>
      <c r="H32"/>
    </row>
    <row r="33" spans="2:8" ht="14.4" x14ac:dyDescent="0.3">
      <c r="B33"/>
      <c r="C33"/>
      <c r="D33"/>
      <c r="E33"/>
      <c r="F33"/>
      <c r="G33"/>
      <c r="H33"/>
    </row>
    <row r="34" spans="2:8" ht="14.4" x14ac:dyDescent="0.3">
      <c r="B34"/>
      <c r="C34"/>
      <c r="D34"/>
      <c r="E34"/>
      <c r="F34"/>
      <c r="G34"/>
      <c r="H34"/>
    </row>
    <row r="35" spans="2:8" ht="14.4" x14ac:dyDescent="0.3">
      <c r="B35"/>
      <c r="C35"/>
      <c r="D35"/>
      <c r="E35"/>
      <c r="F35"/>
      <c r="G35"/>
      <c r="H35"/>
    </row>
    <row r="36" spans="2:8" ht="14.4" x14ac:dyDescent="0.3">
      <c r="B36"/>
      <c r="C36"/>
      <c r="D36"/>
      <c r="E36"/>
      <c r="F36"/>
      <c r="G36"/>
      <c r="H36"/>
    </row>
    <row r="37" spans="2:8" ht="14.4" x14ac:dyDescent="0.3">
      <c r="B37"/>
      <c r="C37"/>
      <c r="D37"/>
      <c r="E37"/>
      <c r="F37"/>
      <c r="G37"/>
      <c r="H37"/>
    </row>
    <row r="38" spans="2:8" ht="14.4" x14ac:dyDescent="0.3">
      <c r="B38"/>
      <c r="C38"/>
      <c r="D38"/>
      <c r="E38"/>
      <c r="F38"/>
      <c r="G38"/>
      <c r="H38"/>
    </row>
    <row r="39" spans="2:8" ht="14.4" x14ac:dyDescent="0.3">
      <c r="B39"/>
      <c r="C39"/>
      <c r="D39"/>
      <c r="E39"/>
      <c r="F39"/>
      <c r="G39"/>
      <c r="H39"/>
    </row>
    <row r="40" spans="2:8" ht="14.4" x14ac:dyDescent="0.3">
      <c r="B40"/>
      <c r="C40" s="11"/>
      <c r="D40" s="10"/>
      <c r="E40"/>
      <c r="F40"/>
      <c r="G40"/>
      <c r="H40"/>
    </row>
    <row r="41" spans="2:8" ht="14.4" x14ac:dyDescent="0.3">
      <c r="B41"/>
      <c r="C41"/>
      <c r="D41"/>
      <c r="E41"/>
      <c r="F41"/>
      <c r="G41"/>
      <c r="H41"/>
    </row>
    <row r="42" spans="2:8" ht="14.4" x14ac:dyDescent="0.3">
      <c r="B42"/>
      <c r="C42" t="s">
        <v>98</v>
      </c>
      <c r="D42" t="s">
        <v>99</v>
      </c>
      <c r="E42"/>
      <c r="F42" t="s">
        <v>100</v>
      </c>
      <c r="G42"/>
      <c r="H42"/>
    </row>
    <row r="43" spans="2:8" ht="14.4" x14ac:dyDescent="0.3">
      <c r="B43" t="s">
        <v>10</v>
      </c>
      <c r="C43"/>
      <c r="D43" t="s">
        <v>101</v>
      </c>
      <c r="E43"/>
      <c r="F43"/>
      <c r="G43"/>
      <c r="H43"/>
    </row>
    <row r="44" spans="2:8" ht="14.4" x14ac:dyDescent="0.3">
      <c r="B44" t="s">
        <v>13</v>
      </c>
      <c r="C44">
        <v>18278.007999999998</v>
      </c>
      <c r="D44">
        <f t="shared" ref="D44:D49" si="10">C44*0.067</f>
        <v>1224.626536</v>
      </c>
      <c r="E44">
        <v>2573135</v>
      </c>
      <c r="F44">
        <f t="shared" ref="F44:F49" si="11">D44/E44*100000</f>
        <v>47.592782189819033</v>
      </c>
      <c r="G44"/>
      <c r="H44"/>
    </row>
    <row r="45" spans="2:8" ht="14.4" x14ac:dyDescent="0.3">
      <c r="B45" t="s">
        <v>16</v>
      </c>
      <c r="C45">
        <v>202577.92799999999</v>
      </c>
      <c r="D45">
        <f t="shared" si="10"/>
        <v>13572.721175999999</v>
      </c>
      <c r="E45">
        <v>2601788</v>
      </c>
      <c r="F45">
        <f t="shared" si="11"/>
        <v>521.66898978702341</v>
      </c>
      <c r="G45"/>
      <c r="H45"/>
    </row>
    <row r="46" spans="2:8" ht="14.4" x14ac:dyDescent="0.3">
      <c r="B46" t="s">
        <v>19</v>
      </c>
      <c r="C46">
        <v>311038.86</v>
      </c>
      <c r="D46">
        <f t="shared" si="10"/>
        <v>20839.603620000002</v>
      </c>
      <c r="E46">
        <v>2366354</v>
      </c>
      <c r="F46">
        <f t="shared" si="11"/>
        <v>880.66297857378913</v>
      </c>
      <c r="G46"/>
      <c r="H46"/>
    </row>
    <row r="47" spans="2:8" ht="14.4" x14ac:dyDescent="0.3">
      <c r="B47" t="s">
        <v>22</v>
      </c>
      <c r="C47">
        <v>400342.60499999998</v>
      </c>
      <c r="D47">
        <f t="shared" si="10"/>
        <v>26822.954535000001</v>
      </c>
      <c r="E47">
        <v>2297800</v>
      </c>
      <c r="F47">
        <f t="shared" si="11"/>
        <v>1167.3319929932979</v>
      </c>
      <c r="G47"/>
      <c r="H47"/>
    </row>
    <row r="48" spans="2:8" ht="14.4" x14ac:dyDescent="0.3">
      <c r="B48" t="s">
        <v>25</v>
      </c>
      <c r="C48">
        <v>320918.304</v>
      </c>
      <c r="D48">
        <f t="shared" si="10"/>
        <v>21501.526368000003</v>
      </c>
      <c r="E48">
        <v>1441588</v>
      </c>
      <c r="F48">
        <f t="shared" si="11"/>
        <v>1491.516741815276</v>
      </c>
      <c r="G48"/>
      <c r="H48"/>
    </row>
    <row r="49" spans="2:8" ht="14.4" x14ac:dyDescent="0.3">
      <c r="B49" t="s">
        <v>28</v>
      </c>
      <c r="C49">
        <v>243672.92200000002</v>
      </c>
      <c r="D49">
        <f t="shared" si="10"/>
        <v>16326.085774000003</v>
      </c>
      <c r="E49">
        <v>1516319</v>
      </c>
      <c r="F49">
        <f t="shared" si="11"/>
        <v>1076.6920268096621</v>
      </c>
      <c r="G49"/>
      <c r="H4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89F70-04A2-4A0C-AC64-6D9DB0205B9B}">
  <dimension ref="A1:L22"/>
  <sheetViews>
    <sheetView workbookViewId="0">
      <selection activeCell="J22" sqref="J22"/>
    </sheetView>
  </sheetViews>
  <sheetFormatPr defaultRowHeight="14.4" x14ac:dyDescent="0.3"/>
  <cols>
    <col min="1" max="1" width="14.88671875" bestFit="1" customWidth="1"/>
    <col min="2" max="2" width="24.33203125" bestFit="1" customWidth="1"/>
    <col min="3" max="6" width="12" bestFit="1" customWidth="1"/>
    <col min="7" max="7" width="21.109375" bestFit="1" customWidth="1"/>
    <col min="8" max="8" width="17.77734375" bestFit="1" customWidth="1"/>
    <col min="9" max="9" width="17.5546875" bestFit="1" customWidth="1"/>
    <col min="10" max="11" width="17.5546875" customWidth="1"/>
  </cols>
  <sheetData>
    <row r="1" spans="1:12" x14ac:dyDescent="0.3">
      <c r="A1" s="6" t="s">
        <v>93</v>
      </c>
      <c r="B1" s="8" t="s">
        <v>94</v>
      </c>
    </row>
    <row r="2" spans="1:12" x14ac:dyDescent="0.3">
      <c r="A2" s="1" t="s">
        <v>1</v>
      </c>
      <c r="B2" s="1" t="s">
        <v>6</v>
      </c>
      <c r="C2" t="s">
        <v>7</v>
      </c>
      <c r="D2" t="s">
        <v>8</v>
      </c>
      <c r="E2" s="1" t="s">
        <v>167</v>
      </c>
      <c r="F2" s="1" t="s">
        <v>168</v>
      </c>
      <c r="G2" s="1" t="s">
        <v>88</v>
      </c>
      <c r="H2" t="s">
        <v>178</v>
      </c>
      <c r="I2" t="s">
        <v>177</v>
      </c>
      <c r="L2" s="1" t="s">
        <v>89</v>
      </c>
    </row>
    <row r="3" spans="1:12" x14ac:dyDescent="0.3">
      <c r="A3" s="1">
        <v>14</v>
      </c>
      <c r="B3" s="1">
        <v>0</v>
      </c>
      <c r="G3">
        <v>382051</v>
      </c>
      <c r="L3" s="1"/>
    </row>
    <row r="4" spans="1:12" x14ac:dyDescent="0.3">
      <c r="A4" s="1" t="s">
        <v>10</v>
      </c>
      <c r="B4" s="1" t="s">
        <v>130</v>
      </c>
      <c r="C4">
        <v>1270041.5729999999</v>
      </c>
      <c r="D4">
        <v>1711545.8670000001</v>
      </c>
      <c r="E4">
        <f>C4*1*0.007</f>
        <v>8890.2910109999993</v>
      </c>
      <c r="F4">
        <f>D4*1*0.007</f>
        <v>11980.821069000001</v>
      </c>
      <c r="G4">
        <v>2866911</v>
      </c>
      <c r="H4">
        <f>E4/G4*100000</f>
        <v>310.09999999999997</v>
      </c>
      <c r="I4">
        <f>F4/G4*100000</f>
        <v>417.90000000000003</v>
      </c>
      <c r="J4" t="s">
        <v>189</v>
      </c>
      <c r="K4">
        <v>417.9</v>
      </c>
      <c r="L4" s="1">
        <v>364</v>
      </c>
    </row>
    <row r="5" spans="1:12" x14ac:dyDescent="0.3">
      <c r="A5" s="1" t="s">
        <v>13</v>
      </c>
      <c r="B5" s="1" t="s">
        <v>131</v>
      </c>
      <c r="C5">
        <v>1291713.77</v>
      </c>
      <c r="D5">
        <v>1631367.5899999999</v>
      </c>
      <c r="E5">
        <f t="shared" ref="E5:E10" si="0">C5*1*0.007</f>
        <v>9041.9963900000002</v>
      </c>
      <c r="F5">
        <f t="shared" ref="F5:F10" si="1">D5*1*0.007</f>
        <v>11419.573129999999</v>
      </c>
      <c r="G5">
        <v>2573135</v>
      </c>
      <c r="H5">
        <f t="shared" ref="H5:H10" si="2">E5/G5*100000</f>
        <v>351.40000000000003</v>
      </c>
      <c r="I5">
        <f t="shared" ref="I5:I10" si="3">F5/G5*100000</f>
        <v>443.7999999999999</v>
      </c>
      <c r="J5" t="s">
        <v>190</v>
      </c>
      <c r="K5">
        <v>443.8</v>
      </c>
      <c r="L5" s="1">
        <v>398.30000000000007</v>
      </c>
    </row>
    <row r="6" spans="1:12" x14ac:dyDescent="0.3">
      <c r="A6" s="1" t="s">
        <v>16</v>
      </c>
      <c r="B6" s="1" t="s">
        <v>132</v>
      </c>
      <c r="C6">
        <v>2182900.1320000002</v>
      </c>
      <c r="D6">
        <v>2593982.6360000004</v>
      </c>
      <c r="E6">
        <f t="shared" si="0"/>
        <v>15280.300924000001</v>
      </c>
      <c r="F6">
        <f t="shared" si="1"/>
        <v>18157.878452000004</v>
      </c>
      <c r="G6">
        <v>2601788</v>
      </c>
      <c r="H6">
        <f t="shared" si="2"/>
        <v>587.30000000000007</v>
      </c>
      <c r="I6">
        <f t="shared" si="3"/>
        <v>697.9000000000002</v>
      </c>
      <c r="J6" t="s">
        <v>188</v>
      </c>
      <c r="K6">
        <v>697.9</v>
      </c>
      <c r="L6" s="1">
        <v>682.50000000000011</v>
      </c>
    </row>
    <row r="7" spans="1:12" x14ac:dyDescent="0.3">
      <c r="A7" s="1" t="s">
        <v>19</v>
      </c>
      <c r="B7" s="1" t="s">
        <v>133</v>
      </c>
      <c r="C7">
        <v>851887.44000000006</v>
      </c>
      <c r="D7">
        <v>1940410.28</v>
      </c>
      <c r="E7">
        <f t="shared" si="0"/>
        <v>5963.2120800000002</v>
      </c>
      <c r="F7">
        <f t="shared" si="1"/>
        <v>13582.87196</v>
      </c>
      <c r="G7">
        <v>2366354</v>
      </c>
      <c r="H7">
        <f t="shared" si="2"/>
        <v>252</v>
      </c>
      <c r="I7">
        <f t="shared" si="3"/>
        <v>574</v>
      </c>
      <c r="J7" s="15" t="s">
        <v>187</v>
      </c>
      <c r="K7">
        <v>574</v>
      </c>
      <c r="L7" s="1">
        <v>430.5</v>
      </c>
    </row>
    <row r="8" spans="1:12" x14ac:dyDescent="0.3">
      <c r="A8" s="1" t="s">
        <v>22</v>
      </c>
      <c r="B8" s="10" t="s">
        <v>134</v>
      </c>
      <c r="C8">
        <v>1769306</v>
      </c>
      <c r="D8">
        <v>2026659.6</v>
      </c>
      <c r="E8">
        <f t="shared" si="0"/>
        <v>12385.142</v>
      </c>
      <c r="F8">
        <f t="shared" si="1"/>
        <v>14186.617200000001</v>
      </c>
      <c r="G8">
        <v>2297800</v>
      </c>
      <c r="H8">
        <f t="shared" si="2"/>
        <v>539</v>
      </c>
      <c r="I8">
        <f t="shared" si="3"/>
        <v>617.40000000000009</v>
      </c>
      <c r="J8" s="10" t="s">
        <v>186</v>
      </c>
      <c r="K8">
        <v>617.4</v>
      </c>
      <c r="L8" s="1">
        <v>583.80000000000007</v>
      </c>
    </row>
    <row r="9" spans="1:12" x14ac:dyDescent="0.3">
      <c r="A9" s="1" t="s">
        <v>25</v>
      </c>
      <c r="B9" s="10" t="s">
        <v>135</v>
      </c>
      <c r="C9">
        <v>977396.66399999987</v>
      </c>
      <c r="D9">
        <v>1245532.0320000001</v>
      </c>
      <c r="E9">
        <f t="shared" si="0"/>
        <v>6841.7766479999991</v>
      </c>
      <c r="F9">
        <f t="shared" si="1"/>
        <v>8718.7242240000014</v>
      </c>
      <c r="G9">
        <v>1441588</v>
      </c>
      <c r="H9">
        <f t="shared" si="2"/>
        <v>474.59999999999991</v>
      </c>
      <c r="I9">
        <f t="shared" si="3"/>
        <v>604.80000000000018</v>
      </c>
      <c r="J9" t="s">
        <v>191</v>
      </c>
      <c r="K9">
        <v>604.79999999999995</v>
      </c>
      <c r="L9" s="1">
        <v>549.5</v>
      </c>
    </row>
    <row r="10" spans="1:12" x14ac:dyDescent="0.3">
      <c r="A10" s="1" t="s">
        <v>28</v>
      </c>
      <c r="B10" s="10" t="s">
        <v>136</v>
      </c>
      <c r="C10">
        <v>850654.95900000003</v>
      </c>
      <c r="D10">
        <v>1216087.838</v>
      </c>
      <c r="E10">
        <f t="shared" si="0"/>
        <v>5954.5847130000002</v>
      </c>
      <c r="F10">
        <f t="shared" si="1"/>
        <v>8512.6148659999999</v>
      </c>
      <c r="G10">
        <v>1516319</v>
      </c>
      <c r="H10">
        <f t="shared" si="2"/>
        <v>392.7</v>
      </c>
      <c r="I10">
        <f t="shared" si="3"/>
        <v>561.4</v>
      </c>
      <c r="J10" t="s">
        <v>192</v>
      </c>
      <c r="K10">
        <v>561.4</v>
      </c>
      <c r="L10" s="1">
        <v>486.50000000000006</v>
      </c>
    </row>
    <row r="13" spans="1:12" x14ac:dyDescent="0.3">
      <c r="A13" s="6" t="s">
        <v>95</v>
      </c>
      <c r="B13" s="1" t="s">
        <v>45</v>
      </c>
      <c r="C13" s="1"/>
      <c r="D13" s="1"/>
      <c r="E13" s="1"/>
      <c r="F13" s="1"/>
      <c r="G13" s="1"/>
      <c r="H13" s="1"/>
      <c r="I13" s="1"/>
      <c r="J13" s="1"/>
      <c r="K13" s="1"/>
    </row>
    <row r="14" spans="1:12" x14ac:dyDescent="0.3">
      <c r="A14" s="1"/>
      <c r="B14" s="1" t="s">
        <v>6</v>
      </c>
      <c r="C14" s="1" t="s">
        <v>165</v>
      </c>
      <c r="D14" s="1" t="s">
        <v>166</v>
      </c>
      <c r="E14" s="1" t="s">
        <v>167</v>
      </c>
      <c r="F14" s="1" t="s">
        <v>168</v>
      </c>
      <c r="G14" s="1" t="s">
        <v>2</v>
      </c>
      <c r="H14" s="2" t="s">
        <v>170</v>
      </c>
      <c r="I14" s="2" t="s">
        <v>171</v>
      </c>
      <c r="J14" s="2"/>
      <c r="K14" s="2"/>
      <c r="L14" s="1" t="s">
        <v>169</v>
      </c>
    </row>
    <row r="15" spans="1:12" x14ac:dyDescent="0.3">
      <c r="A15" s="1">
        <v>14</v>
      </c>
      <c r="B15" s="1">
        <v>0</v>
      </c>
      <c r="C15" s="2"/>
      <c r="D15" s="2"/>
      <c r="G15">
        <v>382051</v>
      </c>
    </row>
    <row r="16" spans="1:12" x14ac:dyDescent="0.3">
      <c r="A16" s="1" t="s">
        <v>10</v>
      </c>
      <c r="B16" s="1">
        <v>0</v>
      </c>
      <c r="C16" s="2"/>
      <c r="D16" s="2"/>
      <c r="G16">
        <v>2866911</v>
      </c>
    </row>
    <row r="17" spans="1:12" x14ac:dyDescent="0.3">
      <c r="A17" s="1" t="s">
        <v>13</v>
      </c>
      <c r="B17" s="1" t="s">
        <v>137</v>
      </c>
      <c r="C17" s="2">
        <f>G17/100*0.4</f>
        <v>10292.540000000001</v>
      </c>
      <c r="D17" s="2">
        <f>G17/100*5.4</f>
        <v>138949.29</v>
      </c>
      <c r="E17">
        <f>C17*1*0.067</f>
        <v>689.60018000000014</v>
      </c>
      <c r="F17">
        <f>D17*1*0.067</f>
        <v>9309.6024300000008</v>
      </c>
      <c r="G17">
        <v>2573135</v>
      </c>
      <c r="H17">
        <f>E17/G17*100000</f>
        <v>26.800000000000008</v>
      </c>
      <c r="I17">
        <f>F17/G17*100000</f>
        <v>361.8</v>
      </c>
      <c r="J17" t="s">
        <v>199</v>
      </c>
      <c r="K17">
        <v>361.8</v>
      </c>
      <c r="L17">
        <v>93.799999999999983</v>
      </c>
    </row>
    <row r="18" spans="1:12" x14ac:dyDescent="0.3">
      <c r="A18" s="1" t="s">
        <v>16</v>
      </c>
      <c r="B18" s="1" t="s">
        <v>138</v>
      </c>
      <c r="C18" s="2">
        <f>G18/100*7.9</f>
        <v>205541.25200000001</v>
      </c>
      <c r="D18" s="2">
        <f>G18/100*17.4</f>
        <v>452711.11199999996</v>
      </c>
      <c r="E18">
        <f t="shared" ref="E18:E22" si="4">C18*1*0.067</f>
        <v>13771.263884000002</v>
      </c>
      <c r="F18">
        <f t="shared" ref="F18:F22" si="5">D18*1*0.067</f>
        <v>30331.644504</v>
      </c>
      <c r="G18">
        <v>2601788</v>
      </c>
      <c r="H18">
        <f t="shared" ref="H18:H22" si="6">E18/G18*100000</f>
        <v>529.30000000000007</v>
      </c>
      <c r="I18">
        <f t="shared" ref="I18:I22" si="7">F18/G18*100000</f>
        <v>1165.8</v>
      </c>
      <c r="J18" t="s">
        <v>200</v>
      </c>
      <c r="K18">
        <v>1165.8</v>
      </c>
      <c r="L18">
        <v>797.30000000000007</v>
      </c>
    </row>
    <row r="19" spans="1:12" x14ac:dyDescent="0.3">
      <c r="A19" s="1" t="s">
        <v>19</v>
      </c>
      <c r="B19" s="1" t="s">
        <v>139</v>
      </c>
      <c r="C19" s="2">
        <f>G19/100*9.7</f>
        <v>229536.33799999999</v>
      </c>
      <c r="D19" s="2">
        <f>G19/100*28.9</f>
        <v>683876.30599999998</v>
      </c>
      <c r="E19">
        <f t="shared" si="4"/>
        <v>15378.934646</v>
      </c>
      <c r="F19">
        <f t="shared" si="5"/>
        <v>45819.712502000002</v>
      </c>
      <c r="G19">
        <v>2366354</v>
      </c>
      <c r="H19">
        <f t="shared" si="6"/>
        <v>649.9</v>
      </c>
      <c r="I19">
        <f t="shared" si="7"/>
        <v>1936.3000000000002</v>
      </c>
      <c r="J19" t="s">
        <v>201</v>
      </c>
      <c r="K19">
        <v>1936.3</v>
      </c>
      <c r="L19">
        <v>911.2</v>
      </c>
    </row>
    <row r="20" spans="1:12" x14ac:dyDescent="0.3">
      <c r="A20" s="1" t="s">
        <v>22</v>
      </c>
      <c r="B20" s="1" t="s">
        <v>140</v>
      </c>
      <c r="C20" s="2">
        <f>G20/100*16.4</f>
        <v>376839.19999999995</v>
      </c>
      <c r="D20" s="2">
        <f>G20/100*27.5</f>
        <v>631895</v>
      </c>
      <c r="E20">
        <f t="shared" si="4"/>
        <v>25248.2264</v>
      </c>
      <c r="F20">
        <f t="shared" si="5"/>
        <v>42336.965000000004</v>
      </c>
      <c r="G20">
        <v>2297800</v>
      </c>
      <c r="H20">
        <f t="shared" si="6"/>
        <v>1098.8</v>
      </c>
      <c r="I20">
        <f t="shared" si="7"/>
        <v>1842.5</v>
      </c>
      <c r="J20" t="s">
        <v>202</v>
      </c>
      <c r="K20">
        <v>1842.5</v>
      </c>
      <c r="L20">
        <v>1433.7999999999997</v>
      </c>
    </row>
    <row r="21" spans="1:12" x14ac:dyDescent="0.3">
      <c r="A21" s="1" t="s">
        <v>25</v>
      </c>
      <c r="B21" s="1" t="s">
        <v>141</v>
      </c>
      <c r="C21" s="2">
        <f>G21/100*36.5</f>
        <v>526179.62</v>
      </c>
      <c r="D21" s="2">
        <f>G21/100*53.5</f>
        <v>771249.58</v>
      </c>
      <c r="E21">
        <f t="shared" si="4"/>
        <v>35254.034540000001</v>
      </c>
      <c r="F21">
        <f t="shared" si="5"/>
        <v>51673.721859999998</v>
      </c>
      <c r="G21">
        <v>1441588</v>
      </c>
      <c r="H21">
        <f t="shared" si="6"/>
        <v>2445.5</v>
      </c>
      <c r="I21">
        <f t="shared" si="7"/>
        <v>3584.5</v>
      </c>
      <c r="J21" t="s">
        <v>203</v>
      </c>
      <c r="K21">
        <v>3584.5</v>
      </c>
      <c r="L21">
        <v>3001.6</v>
      </c>
    </row>
    <row r="22" spans="1:12" x14ac:dyDescent="0.3">
      <c r="A22" s="1" t="s">
        <v>28</v>
      </c>
      <c r="B22" s="1" t="s">
        <v>142</v>
      </c>
      <c r="C22" s="2">
        <f>G22/100*38.3</f>
        <v>580750.17700000003</v>
      </c>
      <c r="D22" s="2">
        <f>G22/100*56.2</f>
        <v>852171.27800000005</v>
      </c>
      <c r="E22">
        <f t="shared" si="4"/>
        <v>38910.261859000006</v>
      </c>
      <c r="F22">
        <f t="shared" si="5"/>
        <v>57095.475626000007</v>
      </c>
      <c r="G22">
        <v>1516319</v>
      </c>
      <c r="H22">
        <f t="shared" si="6"/>
        <v>2566.1000000000004</v>
      </c>
      <c r="I22">
        <f t="shared" si="7"/>
        <v>3765.4000000000005</v>
      </c>
      <c r="J22" t="s">
        <v>204</v>
      </c>
      <c r="K22">
        <v>3765.4</v>
      </c>
      <c r="L22">
        <v>3162.4000000000005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male prevalence</vt:lpstr>
      <vt:lpstr>male carious variables</vt:lpstr>
      <vt:lpstr>male YLD</vt:lpstr>
      <vt:lpstr>male CI YLD</vt:lpstr>
      <vt:lpstr>Sheet1</vt:lpstr>
      <vt:lpstr>female prevalence</vt:lpstr>
      <vt:lpstr>female carious variables</vt:lpstr>
      <vt:lpstr>female YLD</vt:lpstr>
      <vt:lpstr>female ci yld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Meyyappan, Meyyammai</dc:creator>
  <cp:lastModifiedBy>Meyyappan, Meyyammai</cp:lastModifiedBy>
  <dcterms:created xsi:type="dcterms:W3CDTF">2025-04-30T11:47:48Z</dcterms:created>
  <dcterms:modified xsi:type="dcterms:W3CDTF">2025-05-19T10:15:03Z</dcterms:modified>
</cp:coreProperties>
</file>